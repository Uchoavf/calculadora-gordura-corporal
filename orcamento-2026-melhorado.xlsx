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2026" sheetId="1" state="visible" r:id="rId1"/>
    <sheet name="Jan" sheetId="2" state="visible" r:id="rId2"/>
    <sheet name="Fev" sheetId="3" state="visible" r:id="rId3"/>
    <sheet name="Mar" sheetId="4" state="visible" r:id="rId4"/>
    <sheet name="Abr" sheetId="5" state="visible" r:id="rId5"/>
    <sheet name="Mai" sheetId="6" state="visible" r:id="rId6"/>
    <sheet name="Jun" sheetId="7" state="visible" r:id="rId7"/>
    <sheet name="Jul" sheetId="8" state="visible" r:id="rId8"/>
    <sheet name="Ago" sheetId="9" state="visible" r:id="rId9"/>
    <sheet name="Set" sheetId="10" state="visible" r:id="rId10"/>
    <sheet name="Out" sheetId="11" state="visible" r:id="rId11"/>
    <sheet name="Nov" sheetId="12" state="visible" r:id="rId12"/>
    <sheet name="Dez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#,##0.00"/>
    <numFmt numFmtId="165" formatCode="DD/MM/YYYY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000000"/>
      <sz val="10"/>
    </font>
    <font>
      <name val="Calibri"/>
      <b val="1"/>
      <color rgb="00FFFFFF"/>
      <sz val="10"/>
    </font>
    <font>
      <i val="1"/>
      <color rgb="00888888"/>
      <sz val="8"/>
    </font>
    <font>
      <name val="Calibri"/>
      <b val="1"/>
      <color rgb="00FFFFFF"/>
      <sz val="15"/>
    </font>
    <font>
      <i val="1"/>
      <color rgb="00FFFFFF"/>
      <sz val="9"/>
    </font>
  </fonts>
  <fills count="24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1A5C38"/>
      </patternFill>
    </fill>
    <fill>
      <patternFill patternType="solid">
        <fgColor rgb="00BF6900"/>
      </patternFill>
    </fill>
    <fill>
      <patternFill patternType="solid">
        <fgColor rgb="007B1818"/>
      </patternFill>
    </fill>
    <fill>
      <patternFill patternType="solid">
        <fgColor rgb="004A148C"/>
      </patternFill>
    </fill>
    <fill>
      <patternFill patternType="solid">
        <fgColor rgb="00388E3C"/>
      </patternFill>
    </fill>
    <fill>
      <patternFill patternType="solid">
        <fgColor rgb="00E65100"/>
      </patternFill>
    </fill>
    <fill>
      <patternFill patternType="solid">
        <fgColor rgb="00C62828"/>
      </patternFill>
    </fill>
    <fill>
      <patternFill patternType="solid">
        <fgColor rgb="007B1FA2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FEBEE"/>
      </patternFill>
    </fill>
    <fill>
      <patternFill patternType="solid">
        <fgColor rgb="00F3E5F5"/>
      </patternFill>
    </fill>
    <fill>
      <patternFill patternType="solid">
        <fgColor rgb="00F0FBF0"/>
      </patternFill>
    </fill>
    <fill>
      <patternFill patternType="solid">
        <fgColor rgb="00FFF8F0"/>
      </patternFill>
    </fill>
    <fill>
      <patternFill patternType="solid">
        <fgColor rgb="00FFF5F5"/>
      </patternFill>
    </fill>
    <fill>
      <patternFill patternType="solid">
        <fgColor rgb="00FAF0FF"/>
      </patternFill>
    </fill>
    <fill>
      <patternFill patternType="solid">
        <fgColor rgb="0037474F"/>
      </patternFill>
    </fill>
    <fill>
      <patternFill patternType="solid">
        <fgColor rgb="00546E7A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1565C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89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8" fillId="23" borderId="0" applyAlignment="1" pivotButton="0" quotePrefix="0" xfId="0">
      <alignment horizontal="center" vertical="center"/>
    </xf>
    <xf numFmtId="0" fontId="0" fillId="19" borderId="1" pivotButton="0" quotePrefix="0" xfId="0"/>
    <xf numFmtId="0" fontId="5" fillId="19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 indent="1"/>
    </xf>
    <xf numFmtId="164" fontId="4" fillId="11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0" fontId="4" fillId="12" borderId="1" applyAlignment="1" pivotButton="0" quotePrefix="0" xfId="0">
      <alignment horizontal="left" vertical="center" indent="1"/>
    </xf>
    <xf numFmtId="164" fontId="4" fillId="12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5" fillId="23" borderId="1" applyAlignment="1" pivotButton="0" quotePrefix="0" xfId="0">
      <alignment horizontal="left" vertical="center" indent="1"/>
    </xf>
    <xf numFmtId="164" fontId="5" fillId="23" borderId="1" applyAlignment="1" pivotButton="0" quotePrefix="0" xfId="0">
      <alignment horizontal="right" vertical="center"/>
    </xf>
    <xf numFmtId="164" fontId="2" fillId="23" borderId="1" applyAlignment="1" pivotButton="0" quotePrefix="0" xfId="0">
      <alignment horizontal="right" vertical="center"/>
    </xf>
    <xf numFmtId="0" fontId="4" fillId="13" borderId="1" applyAlignment="1" pivotButton="0" quotePrefix="0" xfId="0">
      <alignment horizontal="left" vertical="center" indent="1"/>
    </xf>
    <xf numFmtId="164" fontId="4" fillId="13" borderId="1" applyAlignment="1" pivotButton="0" quotePrefix="0" xfId="0">
      <alignment horizontal="right" vertical="center"/>
    </xf>
    <xf numFmtId="164" fontId="5" fillId="9" borderId="1" applyAlignment="1" pivotButton="0" quotePrefix="0" xfId="0">
      <alignment horizontal="right" vertical="center"/>
    </xf>
    <xf numFmtId="0" fontId="4" fillId="14" borderId="1" applyAlignment="1" pivotButton="0" quotePrefix="0" xfId="0">
      <alignment horizontal="left" vertical="center" indent="1"/>
    </xf>
    <xf numFmtId="164" fontId="4" fillId="14" borderId="1" applyAlignment="1" pivotButton="0" quotePrefix="0" xfId="0">
      <alignment horizontal="right" vertical="center"/>
    </xf>
    <xf numFmtId="164" fontId="5" fillId="10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4" fillId="21" borderId="1" applyAlignment="1" pivotButton="0" quotePrefix="0" xfId="0">
      <alignment horizontal="left" vertical="center" indent="1"/>
    </xf>
    <xf numFmtId="164" fontId="4" fillId="21" borderId="1" applyAlignment="1" pivotButton="0" quotePrefix="0" xfId="0">
      <alignment horizontal="right" vertical="center"/>
    </xf>
    <xf numFmtId="164" fontId="5" fillId="19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left" vertical="center" indent="1"/>
    </xf>
    <xf numFmtId="164" fontId="5" fillId="2" borderId="1" applyAlignment="1" pivotButton="0" quotePrefix="0" xfId="0">
      <alignment horizontal="right" vertical="center"/>
    </xf>
    <xf numFmtId="164" fontId="2" fillId="2" borderId="1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164" fontId="0" fillId="11" borderId="1" applyAlignment="1" pivotButton="0" quotePrefix="0" xfId="0">
      <alignment horizontal="right" vertical="center"/>
    </xf>
    <xf numFmtId="0" fontId="0" fillId="11" borderId="1" pivotButton="0" quotePrefix="0" xfId="0"/>
    <xf numFmtId="165" fontId="0" fillId="11" borderId="1" applyAlignment="1" pivotButton="0" quotePrefix="0" xfId="0">
      <alignment horizontal="center" vertical="center"/>
    </xf>
    <xf numFmtId="164" fontId="0" fillId="12" borderId="1" applyAlignment="1" pivotButton="0" quotePrefix="0" xfId="0">
      <alignment horizontal="right" vertical="center"/>
    </xf>
    <xf numFmtId="0" fontId="0" fillId="12" borderId="1" pivotButton="0" quotePrefix="0" xfId="0"/>
    <xf numFmtId="164" fontId="0" fillId="13" borderId="1" applyAlignment="1" pivotButton="0" quotePrefix="0" xfId="0">
      <alignment horizontal="right" vertical="center"/>
    </xf>
    <xf numFmtId="0" fontId="0" fillId="13" borderId="1" applyAlignment="1" pivotButton="0" quotePrefix="0" xfId="0">
      <alignment horizontal="center" vertical="center"/>
    </xf>
    <xf numFmtId="165" fontId="0" fillId="13" borderId="1" applyAlignment="1" pivotButton="0" quotePrefix="0" xfId="0">
      <alignment horizontal="center" vertical="center"/>
    </xf>
    <xf numFmtId="164" fontId="0" fillId="14" borderId="1" applyAlignment="1" pivotButton="0" quotePrefix="0" xfId="0">
      <alignment horizontal="right" vertical="center"/>
    </xf>
    <xf numFmtId="0" fontId="0" fillId="14" borderId="1" applyAlignment="1" pivotButton="0" quotePrefix="0" xfId="0">
      <alignment horizontal="center" vertical="center"/>
    </xf>
    <xf numFmtId="165" fontId="0" fillId="14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left" vertical="center" indent="1"/>
    </xf>
    <xf numFmtId="164" fontId="0" fillId="15" borderId="1" applyAlignment="1" pivotButton="0" quotePrefix="0" xfId="0">
      <alignment horizontal="right" vertical="center"/>
    </xf>
    <xf numFmtId="0" fontId="0" fillId="15" borderId="1" pivotButton="0" quotePrefix="0" xfId="0"/>
    <xf numFmtId="165" fontId="0" fillId="15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left" vertical="center" indent="1"/>
    </xf>
    <xf numFmtId="164" fontId="0" fillId="16" borderId="1" applyAlignment="1" pivotButton="0" quotePrefix="0" xfId="0">
      <alignment horizontal="right" vertical="center"/>
    </xf>
    <xf numFmtId="0" fontId="0" fillId="16" borderId="1" pivotButton="0" quotePrefix="0" xfId="0"/>
    <xf numFmtId="0" fontId="4" fillId="17" borderId="1" applyAlignment="1" pivotButton="0" quotePrefix="0" xfId="0">
      <alignment horizontal="left" vertical="center" indent="1"/>
    </xf>
    <xf numFmtId="164" fontId="0" fillId="17" borderId="1" applyAlignment="1" pivotButton="0" quotePrefix="0" xfId="0">
      <alignment horizontal="right" vertical="center"/>
    </xf>
    <xf numFmtId="0" fontId="0" fillId="17" borderId="1" applyAlignment="1" pivotButton="0" quotePrefix="0" xfId="0">
      <alignment horizontal="center" vertical="center"/>
    </xf>
    <xf numFmtId="165" fontId="0" fillId="17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left" vertical="center" indent="1"/>
    </xf>
    <xf numFmtId="164" fontId="0" fillId="18" borderId="1" applyAlignment="1" pivotButton="0" quotePrefix="0" xfId="0">
      <alignment horizontal="right" vertical="center"/>
    </xf>
    <xf numFmtId="0" fontId="0" fillId="18" borderId="1" applyAlignment="1" pivotButton="0" quotePrefix="0" xfId="0">
      <alignment horizontal="center" vertical="center"/>
    </xf>
    <xf numFmtId="165" fontId="0" fillId="18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indent="1"/>
    </xf>
    <xf numFmtId="0" fontId="5" fillId="3" borderId="1" pivotButton="0" quotePrefix="0" xfId="0"/>
    <xf numFmtId="0" fontId="5" fillId="4" borderId="1" applyAlignment="1" pivotButton="0" quotePrefix="0" xfId="0">
      <alignment horizontal="left" vertical="center" indent="1"/>
    </xf>
    <xf numFmtId="0" fontId="5" fillId="4" borderId="1" pivotButton="0" quotePrefix="0" xfId="0"/>
    <xf numFmtId="0" fontId="5" fillId="5" borderId="1" applyAlignment="1" pivotButton="0" quotePrefix="0" xfId="0">
      <alignment horizontal="left" vertical="center" indent="1"/>
    </xf>
    <xf numFmtId="0" fontId="5" fillId="5" borderId="1" pivotButton="0" quotePrefix="0" xfId="0"/>
    <xf numFmtId="0" fontId="5" fillId="6" borderId="1" applyAlignment="1" pivotButton="0" quotePrefix="0" xfId="0">
      <alignment horizontal="left" vertical="center" indent="1"/>
    </xf>
    <xf numFmtId="164" fontId="5" fillId="6" borderId="1" applyAlignment="1" pivotButton="0" quotePrefix="0" xfId="0">
      <alignment horizontal="right" vertical="center"/>
    </xf>
    <xf numFmtId="0" fontId="5" fillId="6" borderId="1" pivotButton="0" quotePrefix="0" xfId="0"/>
    <xf numFmtId="0" fontId="6" fillId="0" borderId="2" pivotButton="0" quotePrefix="0" xfId="0"/>
    <xf numFmtId="0" fontId="2" fillId="19" borderId="0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 wrapText="1"/>
    </xf>
    <xf numFmtId="0" fontId="4" fillId="21" borderId="1" applyAlignment="1" pivotButton="0" quotePrefix="0" xfId="0">
      <alignment horizontal="center" vertical="center"/>
    </xf>
    <xf numFmtId="0" fontId="4" fillId="22" borderId="1" applyAlignment="1" pivotButton="0" quotePrefix="0" xfId="0">
      <alignment horizontal="center" vertical="center"/>
    </xf>
    <xf numFmtId="0" fontId="4" fillId="22" borderId="1" applyAlignment="1" pivotButton="0" quotePrefix="0" xfId="0">
      <alignment horizontal="left" vertical="center" indent="1"/>
    </xf>
    <xf numFmtId="164" fontId="4" fillId="22" borderId="1" applyAlignment="1" pivotButton="0" quotePrefix="0" xfId="0">
      <alignment horizontal="right" vertical="center"/>
    </xf>
    <xf numFmtId="0" fontId="5" fillId="19" borderId="1" applyAlignment="1" pivotButton="0" quotePrefix="0" xfId="0">
      <alignment horizontal="left" vertical="center" indent="1"/>
    </xf>
    <xf numFmtId="0" fontId="2" fillId="5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164" fontId="4" fillId="17" borderId="1" applyAlignment="1" pivotButton="0" quotePrefix="0" xfId="0">
      <alignment horizontal="right" vertical="center"/>
    </xf>
    <xf numFmtId="0" fontId="4" fillId="17" borderId="1" applyAlignment="1" pivotButton="0" quotePrefix="0" xfId="0">
      <alignment horizontal="center" vertical="center"/>
    </xf>
    <xf numFmtId="0" fontId="0" fillId="5" borderId="1" pivotButton="0" quotePrefix="0" xfId="0"/>
    <xf numFmtId="0" fontId="2" fillId="23" borderId="1" applyAlignment="1" pivotButton="0" quotePrefix="0" xfId="0">
      <alignment horizontal="left" vertical="center" indent="1"/>
    </xf>
    <xf numFmtId="0" fontId="2" fillId="2" borderId="1" applyAlignment="1" pivotButton="0" quotePrefix="0" xfId="0">
      <alignment horizontal="left" vertical="center" indent="1"/>
    </xf>
    <xf numFmtId="0" fontId="4" fillId="21" borderId="1" pivotButton="0" quotePrefix="0" xfId="0"/>
    <xf numFmtId="0" fontId="4" fillId="2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32" customHeight="1">
      <c r="A1" s="1" t="inlineStr">
        <is>
          <t>RESUMO ANUAL 2026  —  ORÇAMENTO FINANCEIRO</t>
        </is>
      </c>
    </row>
    <row r="2" ht="18" customHeight="1">
      <c r="A2" s="2" t="inlineStr">
        <is>
          <t>Valores calculados automaticamente a partir das abas mensais  •  SALDO¹ = valor não quitado nos cartões (nova dívida gerada)</t>
        </is>
      </c>
    </row>
    <row r="3" ht="22" customHeight="1">
      <c r="A3" s="3" t="inlineStr"/>
      <c r="B3" s="4" t="inlineStr">
        <is>
          <t>Jan</t>
        </is>
      </c>
      <c r="C3" s="4" t="inlineStr">
        <is>
          <t>Fev</t>
        </is>
      </c>
      <c r="D3" s="4" t="inlineStr">
        <is>
          <t>Mar</t>
        </is>
      </c>
      <c r="E3" s="4" t="inlineStr">
        <is>
          <t>Abr</t>
        </is>
      </c>
      <c r="F3" s="4" t="inlineStr">
        <is>
          <t>Mai</t>
        </is>
      </c>
      <c r="G3" s="4" t="inlineStr">
        <is>
          <t>Jun</t>
        </is>
      </c>
      <c r="H3" s="4" t="inlineStr">
        <is>
          <t>Jul</t>
        </is>
      </c>
      <c r="I3" s="4" t="inlineStr">
        <is>
          <t>Ago</t>
        </is>
      </c>
      <c r="J3" s="4" t="inlineStr">
        <is>
          <t>Set</t>
        </is>
      </c>
      <c r="K3" s="4" t="inlineStr">
        <is>
          <t>Out</t>
        </is>
      </c>
      <c r="L3" s="4" t="inlineStr">
        <is>
          <t>Nov</t>
        </is>
      </c>
      <c r="M3" s="4" t="inlineStr">
        <is>
          <t>Dez</t>
        </is>
      </c>
      <c r="N3" s="5" t="inlineStr">
        <is>
          <t>TOTAL ANO</t>
        </is>
      </c>
    </row>
    <row r="4" ht="19" customHeight="1">
      <c r="A4" s="6" t="inlineStr">
        <is>
          <t>RECEITA BRUTA</t>
        </is>
      </c>
      <c r="B4" s="7">
        <f>'Jan'!B20</f>
        <v/>
      </c>
      <c r="C4" s="7">
        <f>'Fev'!B20</f>
        <v/>
      </c>
      <c r="D4" s="7">
        <f>'Mar'!B20</f>
        <v/>
      </c>
      <c r="E4" s="7">
        <f>'Abr'!B20</f>
        <v/>
      </c>
      <c r="F4" s="7">
        <f>'Mai'!B20</f>
        <v/>
      </c>
      <c r="G4" s="7">
        <f>'Jun'!B20</f>
        <v/>
      </c>
      <c r="H4" s="7">
        <f>'Jul'!B20</f>
        <v/>
      </c>
      <c r="I4" s="7">
        <f>'Ago'!B20</f>
        <v/>
      </c>
      <c r="J4" s="7">
        <f>'Set'!B20</f>
        <v/>
      </c>
      <c r="K4" s="7">
        <f>'Out'!B20</f>
        <v/>
      </c>
      <c r="L4" s="7">
        <f>'Nov'!B20</f>
        <v/>
      </c>
      <c r="M4" s="7">
        <f>'Dez'!B20</f>
        <v/>
      </c>
      <c r="N4" s="8">
        <f>SUM(B4:M4)</f>
        <v/>
      </c>
    </row>
    <row r="5" ht="19" customHeight="1">
      <c r="A5" s="9" t="inlineStr">
        <is>
          <t>(−) Descontos em Folha</t>
        </is>
      </c>
      <c r="B5" s="10">
        <f>'Jan'!F20</f>
        <v/>
      </c>
      <c r="C5" s="10">
        <f>'Fev'!F20</f>
        <v/>
      </c>
      <c r="D5" s="10">
        <f>'Mar'!F20</f>
        <v/>
      </c>
      <c r="E5" s="10">
        <f>'Abr'!F20</f>
        <v/>
      </c>
      <c r="F5" s="10">
        <f>'Mai'!F20</f>
        <v/>
      </c>
      <c r="G5" s="10">
        <f>'Jun'!F20</f>
        <v/>
      </c>
      <c r="H5" s="10">
        <f>'Jul'!F20</f>
        <v/>
      </c>
      <c r="I5" s="10">
        <f>'Ago'!F20</f>
        <v/>
      </c>
      <c r="J5" s="10">
        <f>'Set'!F20</f>
        <v/>
      </c>
      <c r="K5" s="10">
        <f>'Out'!F20</f>
        <v/>
      </c>
      <c r="L5" s="10">
        <f>'Nov'!F20</f>
        <v/>
      </c>
      <c r="M5" s="10">
        <f>'Dez'!F20</f>
        <v/>
      </c>
      <c r="N5" s="11">
        <f>SUM(B5:M5)</f>
        <v/>
      </c>
    </row>
    <row r="6" ht="22" customHeight="1">
      <c r="A6" s="12">
        <f> Receita Líquida</f>
        <v/>
      </c>
      <c r="B6" s="13">
        <f>'Jan'!F50</f>
        <v/>
      </c>
      <c r="C6" s="13">
        <f>'Fev'!F50</f>
        <v/>
      </c>
      <c r="D6" s="13">
        <f>'Mar'!F50</f>
        <v/>
      </c>
      <c r="E6" s="13">
        <f>'Abr'!F50</f>
        <v/>
      </c>
      <c r="F6" s="13">
        <f>'Mai'!F50</f>
        <v/>
      </c>
      <c r="G6" s="13">
        <f>'Jun'!F50</f>
        <v/>
      </c>
      <c r="H6" s="13">
        <f>'Jul'!F50</f>
        <v/>
      </c>
      <c r="I6" s="13">
        <f>'Ago'!F50</f>
        <v/>
      </c>
      <c r="J6" s="13">
        <f>'Set'!F50</f>
        <v/>
      </c>
      <c r="K6" s="13">
        <f>'Out'!F50</f>
        <v/>
      </c>
      <c r="L6" s="13">
        <f>'Nov'!F50</f>
        <v/>
      </c>
      <c r="M6" s="13">
        <f>'Dez'!F50</f>
        <v/>
      </c>
      <c r="N6" s="14">
        <f>SUM(B6:M6)</f>
        <v/>
      </c>
    </row>
    <row r="7" ht="19" customHeight="1">
      <c r="A7" s="15" t="inlineStr">
        <is>
          <t>(−) Despesas Fixas CET</t>
        </is>
      </c>
      <c r="B7" s="16">
        <f>'Jan'!L20</f>
        <v/>
      </c>
      <c r="C7" s="16">
        <f>'Fev'!L20</f>
        <v/>
      </c>
      <c r="D7" s="16">
        <f>'Mar'!L20</f>
        <v/>
      </c>
      <c r="E7" s="16">
        <f>'Abr'!L20</f>
        <v/>
      </c>
      <c r="F7" s="16">
        <f>'Mai'!L20</f>
        <v/>
      </c>
      <c r="G7" s="16">
        <f>'Jun'!L20</f>
        <v/>
      </c>
      <c r="H7" s="16">
        <f>'Jul'!L20</f>
        <v/>
      </c>
      <c r="I7" s="16">
        <f>'Ago'!L20</f>
        <v/>
      </c>
      <c r="J7" s="16">
        <f>'Set'!L20</f>
        <v/>
      </c>
      <c r="K7" s="16">
        <f>'Out'!L20</f>
        <v/>
      </c>
      <c r="L7" s="16">
        <f>'Nov'!L20</f>
        <v/>
      </c>
      <c r="M7" s="16">
        <f>'Dez'!L20</f>
        <v/>
      </c>
      <c r="N7" s="17">
        <f>SUM(B7:M7)</f>
        <v/>
      </c>
    </row>
    <row r="8" ht="19" customHeight="1">
      <c r="A8" s="18" t="inlineStr">
        <is>
          <t>(−) Cartões — Pago</t>
        </is>
      </c>
      <c r="B8" s="19">
        <f>'Jan'!Q20</f>
        <v/>
      </c>
      <c r="C8" s="19">
        <f>'Fev'!Q20</f>
        <v/>
      </c>
      <c r="D8" s="19">
        <f>'Mar'!Q20</f>
        <v/>
      </c>
      <c r="E8" s="19">
        <f>'Abr'!Q20</f>
        <v/>
      </c>
      <c r="F8" s="19">
        <f>'Mai'!Q20</f>
        <v/>
      </c>
      <c r="G8" s="19">
        <f>'Jun'!Q20</f>
        <v/>
      </c>
      <c r="H8" s="19">
        <f>'Jul'!Q20</f>
        <v/>
      </c>
      <c r="I8" s="19">
        <f>'Ago'!Q20</f>
        <v/>
      </c>
      <c r="J8" s="19">
        <f>'Set'!Q20</f>
        <v/>
      </c>
      <c r="K8" s="19">
        <f>'Out'!Q20</f>
        <v/>
      </c>
      <c r="L8" s="19">
        <f>'Nov'!Q20</f>
        <v/>
      </c>
      <c r="M8" s="19">
        <f>'Dez'!Q20</f>
        <v/>
      </c>
      <c r="N8" s="20">
        <f>SUM(B8:M8)</f>
        <v/>
      </c>
    </row>
    <row r="9" ht="19" customHeight="1">
      <c r="A9" s="18" t="inlineStr">
        <is>
          <t>(−) Juros Cartões</t>
        </is>
      </c>
      <c r="B9" s="19">
        <f>'Jan'!S20</f>
        <v/>
      </c>
      <c r="C9" s="19">
        <f>'Fev'!S20</f>
        <v/>
      </c>
      <c r="D9" s="19">
        <f>'Mar'!S20</f>
        <v/>
      </c>
      <c r="E9" s="19">
        <f>'Abr'!S20</f>
        <v/>
      </c>
      <c r="F9" s="19">
        <f>'Mai'!S20</f>
        <v/>
      </c>
      <c r="G9" s="19">
        <f>'Jun'!S20</f>
        <v/>
      </c>
      <c r="H9" s="19">
        <f>'Jul'!S20</f>
        <v/>
      </c>
      <c r="I9" s="19">
        <f>'Ago'!S20</f>
        <v/>
      </c>
      <c r="J9" s="19">
        <f>'Set'!S20</f>
        <v/>
      </c>
      <c r="K9" s="19">
        <f>'Out'!S20</f>
        <v/>
      </c>
      <c r="L9" s="19">
        <f>'Nov'!S20</f>
        <v/>
      </c>
      <c r="M9" s="19">
        <f>'Dez'!S20</f>
        <v/>
      </c>
      <c r="N9" s="20">
        <f>SUM(B9:M9)</f>
        <v/>
      </c>
    </row>
    <row r="10" ht="19" customHeight="1">
      <c r="A10" s="15" t="inlineStr">
        <is>
          <t>(−) Juros Cheque Esp.</t>
        </is>
      </c>
      <c r="B10" s="16">
        <f>'Jan'!D45</f>
        <v/>
      </c>
      <c r="C10" s="16">
        <f>'Fev'!D45</f>
        <v/>
      </c>
      <c r="D10" s="16">
        <f>'Mar'!D45</f>
        <v/>
      </c>
      <c r="E10" s="16">
        <f>'Abr'!D45</f>
        <v/>
      </c>
      <c r="F10" s="16">
        <f>'Mai'!D45</f>
        <v/>
      </c>
      <c r="G10" s="16">
        <f>'Jun'!D45</f>
        <v/>
      </c>
      <c r="H10" s="16">
        <f>'Jul'!D45</f>
        <v/>
      </c>
      <c r="I10" s="16">
        <f>'Ago'!D45</f>
        <v/>
      </c>
      <c r="J10" s="16">
        <f>'Set'!D45</f>
        <v/>
      </c>
      <c r="K10" s="16">
        <f>'Out'!D45</f>
        <v/>
      </c>
      <c r="L10" s="16">
        <f>'Nov'!D45</f>
        <v/>
      </c>
      <c r="M10" s="16">
        <f>'Dez'!D45</f>
        <v/>
      </c>
      <c r="N10" s="21">
        <f>SUM(B10:M10)</f>
        <v/>
      </c>
    </row>
    <row r="11" ht="19" customHeight="1">
      <c r="A11" s="22" t="inlineStr">
        <is>
          <t>(−) Assinaturas</t>
        </is>
      </c>
      <c r="B11" s="23">
        <f>'Jan'!C36</f>
        <v/>
      </c>
      <c r="C11" s="23">
        <f>'Fev'!C36</f>
        <v/>
      </c>
      <c r="D11" s="23">
        <f>'Mar'!C36</f>
        <v/>
      </c>
      <c r="E11" s="23">
        <f>'Abr'!C36</f>
        <v/>
      </c>
      <c r="F11" s="23">
        <f>'Mai'!C36</f>
        <v/>
      </c>
      <c r="G11" s="23">
        <f>'Jun'!C36</f>
        <v/>
      </c>
      <c r="H11" s="23">
        <f>'Jul'!C36</f>
        <v/>
      </c>
      <c r="I11" s="23">
        <f>'Ago'!C36</f>
        <v/>
      </c>
      <c r="J11" s="23">
        <f>'Set'!C36</f>
        <v/>
      </c>
      <c r="K11" s="23">
        <f>'Out'!C36</f>
        <v/>
      </c>
      <c r="L11" s="23">
        <f>'Nov'!C36</f>
        <v/>
      </c>
      <c r="M11" s="23">
        <f>'Dez'!C36</f>
        <v/>
      </c>
      <c r="N11" s="24">
        <f>SUM(B11:M11)</f>
        <v/>
      </c>
    </row>
    <row r="12" ht="22" customHeight="1">
      <c r="A12" s="25">
        <f> SALDO REAL DO MÊS</f>
        <v/>
      </c>
      <c r="B12" s="26">
        <f>'Jan'!F56</f>
        <v/>
      </c>
      <c r="C12" s="26">
        <f>'Fev'!F56</f>
        <v/>
      </c>
      <c r="D12" s="26">
        <f>'Mar'!F56</f>
        <v/>
      </c>
      <c r="E12" s="26">
        <f>'Abr'!F56</f>
        <v/>
      </c>
      <c r="F12" s="26">
        <f>'Mai'!F56</f>
        <v/>
      </c>
      <c r="G12" s="26">
        <f>'Jun'!F56</f>
        <v/>
      </c>
      <c r="H12" s="26">
        <f>'Jul'!F56</f>
        <v/>
      </c>
      <c r="I12" s="26">
        <f>'Ago'!F56</f>
        <v/>
      </c>
      <c r="J12" s="26">
        <f>'Set'!F56</f>
        <v/>
      </c>
      <c r="K12" s="26">
        <f>'Out'!F56</f>
        <v/>
      </c>
      <c r="L12" s="26">
        <f>'Nov'!F56</f>
        <v/>
      </c>
      <c r="M12" s="26">
        <f>'Dez'!F56</f>
        <v/>
      </c>
      <c r="N12" s="27">
        <f>SUM(B12:M12)</f>
        <v/>
      </c>
    </row>
    <row r="13" ht="19" customHeight="1">
      <c r="A13" s="15" t="inlineStr">
        <is>
          <t>Nova Dívida (cartões)</t>
        </is>
      </c>
      <c r="B13" s="16">
        <f>'Jan'!R20</f>
        <v/>
      </c>
      <c r="C13" s="16">
        <f>'Fev'!R20</f>
        <v/>
      </c>
      <c r="D13" s="16">
        <f>'Mar'!R20</f>
        <v/>
      </c>
      <c r="E13" s="16">
        <f>'Abr'!R20</f>
        <v/>
      </c>
      <c r="F13" s="16">
        <f>'Mai'!R20</f>
        <v/>
      </c>
      <c r="G13" s="16">
        <f>'Jun'!R20</f>
        <v/>
      </c>
      <c r="H13" s="16">
        <f>'Jul'!R20</f>
        <v/>
      </c>
      <c r="I13" s="16">
        <f>'Ago'!R20</f>
        <v/>
      </c>
      <c r="J13" s="16">
        <f>'Set'!R20</f>
        <v/>
      </c>
      <c r="K13" s="16">
        <f>'Out'!R20</f>
        <v/>
      </c>
      <c r="L13" s="16">
        <f>'Nov'!R20</f>
        <v/>
      </c>
      <c r="M13" s="16">
        <f>'Dez'!R20</f>
        <v/>
      </c>
      <c r="N13" s="21">
        <f>SUM(B13:M13)</f>
        <v/>
      </c>
    </row>
    <row r="14" ht="19" customHeight="1">
      <c r="A14" s="22" t="inlineStr">
        <is>
          <t>Total em Contas</t>
        </is>
      </c>
      <c r="B14" s="23">
        <f>'Jan'!B78</f>
        <v/>
      </c>
      <c r="C14" s="23">
        <f>'Fev'!B78</f>
        <v/>
      </c>
      <c r="D14" s="23">
        <f>'Mar'!B78</f>
        <v/>
      </c>
      <c r="E14" s="23">
        <f>'Abr'!B78</f>
        <v/>
      </c>
      <c r="F14" s="23">
        <f>'Mai'!B78</f>
        <v/>
      </c>
      <c r="G14" s="23">
        <f>'Jun'!B78</f>
        <v/>
      </c>
      <c r="H14" s="23">
        <f>'Jul'!B78</f>
        <v/>
      </c>
      <c r="I14" s="23">
        <f>'Ago'!B78</f>
        <v/>
      </c>
      <c r="J14" s="23">
        <f>'Set'!B78</f>
        <v/>
      </c>
      <c r="K14" s="23">
        <f>'Out'!B78</f>
        <v/>
      </c>
      <c r="L14" s="23">
        <f>'Nov'!B78</f>
        <v/>
      </c>
      <c r="M14" s="23">
        <f>'Dez'!B78</f>
        <v/>
      </c>
      <c r="N14" s="24">
        <f>SUM(B14:M14)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3" customWidth="1" min="3" max="3"/>
    <col width="12" customWidth="1" min="4" max="4"/>
    <col width="24" customWidth="1" min="5" max="5"/>
    <col width="14" customWidth="1" min="6" max="6"/>
    <col width="13" customWidth="1" min="7" max="7"/>
    <col width="13" customWidth="1" min="8" max="8"/>
    <col width="24" customWidth="1" min="9" max="9"/>
    <col width="12" customWidth="1" min="10" max="10"/>
    <col width="9" customWidth="1" min="11" max="11"/>
    <col width="12" customWidth="1" min="12" max="12"/>
    <col width="13" customWidth="1" min="13" max="13"/>
    <col width="12" customWidth="1" min="14" max="14"/>
    <col width="16" customWidth="1" min="15" max="15"/>
    <col width="14" customWidth="1" min="16" max="16"/>
    <col width="14" customWidth="1" min="17" max="17"/>
    <col width="12" customWidth="1" min="18" max="18"/>
    <col width="9" customWidth="1" min="19" max="19"/>
    <col width="12" customWidth="1" min="20" max="20"/>
    <col width="13" customWidth="1" min="21" max="21"/>
    <col width="16" customWidth="1" min="22" max="22"/>
  </cols>
  <sheetData>
    <row r="1" ht="30" customHeight="1">
      <c r="A1" s="28" t="inlineStr">
        <is>
          <t>ORÇAMENTO  JANEIRO  2026</t>
        </is>
      </c>
    </row>
    <row r="2" ht="22" customHeight="1">
      <c r="A2" s="29" t="inlineStr">
        <is>
          <t>▶  FONTES DE RECEITA</t>
        </is>
      </c>
      <c r="E2" s="30" t="inlineStr">
        <is>
          <t>▶  DESCONTOS EM FOLHA</t>
        </is>
      </c>
      <c r="I2" s="31" t="inlineStr">
        <is>
          <t>▶  DESPESAS FIXAS</t>
        </is>
      </c>
      <c r="O2" s="32" t="inlineStr">
        <is>
          <t>▶  DESPESAS COM CARTÕES</t>
        </is>
      </c>
    </row>
    <row r="3" ht="26" customHeight="1">
      <c r="A3" s="33" t="inlineStr">
        <is>
          <t>ORIGEM</t>
        </is>
      </c>
      <c r="B3" s="33" t="inlineStr">
        <is>
          <t>VALOR</t>
        </is>
      </c>
      <c r="C3" s="33" t="inlineStr">
        <is>
          <t>SITUAÇÃO</t>
        </is>
      </c>
      <c r="D3" s="33" t="inlineStr">
        <is>
          <t>DATA PG</t>
        </is>
      </c>
      <c r="E3" s="34" t="inlineStr">
        <is>
          <t>ORIGEM</t>
        </is>
      </c>
      <c r="F3" s="34" t="inlineStr">
        <is>
          <t>VALOR</t>
        </is>
      </c>
      <c r="G3" s="34" t="inlineStr">
        <is>
          <t>INFO</t>
        </is>
      </c>
      <c r="H3" s="34" t="inlineStr">
        <is>
          <t>OBS</t>
        </is>
      </c>
      <c r="I3" s="35" t="inlineStr">
        <is>
          <t>ORIGEM</t>
        </is>
      </c>
      <c r="J3" s="35" t="inlineStr">
        <is>
          <t>VALOR</t>
        </is>
      </c>
      <c r="K3" s="35" t="inlineStr">
        <is>
          <t>JUROS</t>
        </is>
      </c>
      <c r="L3" s="35" t="inlineStr">
        <is>
          <t>CET</t>
        </is>
      </c>
      <c r="M3" s="35" t="inlineStr">
        <is>
          <t>SITUAÇÃO</t>
        </is>
      </c>
      <c r="N3" s="35" t="inlineStr">
        <is>
          <t>DATA PG</t>
        </is>
      </c>
      <c r="O3" s="36" t="inlineStr">
        <is>
          <t>CARTÃO</t>
        </is>
      </c>
      <c r="P3" s="36" t="inlineStr">
        <is>
          <t>FATURA</t>
        </is>
      </c>
      <c r="Q3" s="36" t="inlineStr">
        <is>
          <t>PAGO</t>
        </is>
      </c>
      <c r="R3" s="36" t="inlineStr">
        <is>
          <t>SALDO¹</t>
        </is>
      </c>
      <c r="S3" s="36" t="inlineStr">
        <is>
          <t>JUROS</t>
        </is>
      </c>
      <c r="T3" s="36" t="inlineStr">
        <is>
          <t>CET</t>
        </is>
      </c>
      <c r="U3" s="36" t="inlineStr">
        <is>
          <t>SITUAÇÃO</t>
        </is>
      </c>
      <c r="V3" s="36" t="inlineStr">
        <is>
          <t>DATA PG</t>
        </is>
      </c>
    </row>
    <row r="4" ht="20" customHeight="1">
      <c r="A4" s="6" t="inlineStr">
        <is>
          <t>SALÁRIO</t>
        </is>
      </c>
      <c r="B4" s="37" t="n"/>
      <c r="C4" s="38" t="n"/>
      <c r="D4" s="39" t="n"/>
      <c r="E4" s="9" t="inlineStr">
        <is>
          <t>Consignado V.Nbk</t>
        </is>
      </c>
      <c r="F4" s="40" t="n"/>
      <c r="G4" s="41" t="n"/>
      <c r="H4" s="41" t="n"/>
      <c r="I4" s="15" t="inlineStr">
        <is>
          <t>HAPVIDA/SALMINHO</t>
        </is>
      </c>
      <c r="J4" s="42" t="n"/>
      <c r="K4" s="42" t="n"/>
      <c r="L4" s="42">
        <f>IF(J4="","",J4+IF(K4="",0,K4))</f>
        <v/>
      </c>
      <c r="M4" s="43" t="n"/>
      <c r="N4" s="44" t="n"/>
      <c r="O4" s="18" t="inlineStr">
        <is>
          <t>BB</t>
        </is>
      </c>
      <c r="P4" s="45" t="n"/>
      <c r="Q4" s="45" t="n"/>
      <c r="R4" s="45">
        <f>IF(P4="","",P4-IF(Q4="",0,Q4))</f>
        <v/>
      </c>
      <c r="S4" s="45" t="n"/>
      <c r="T4" s="45">
        <f>IF(Q4="","",Q4+IF(S4="",0,S4))</f>
        <v/>
      </c>
      <c r="U4" s="46" t="n"/>
      <c r="V4" s="47" t="n"/>
    </row>
    <row r="5" ht="20" customHeight="1">
      <c r="A5" s="48" t="inlineStr">
        <is>
          <t>Kalena OF/NET</t>
        </is>
      </c>
      <c r="B5" s="49" t="n"/>
      <c r="C5" s="50" t="n"/>
      <c r="D5" s="51" t="n"/>
      <c r="E5" s="52" t="inlineStr">
        <is>
          <t>Caixa Habitação</t>
        </is>
      </c>
      <c r="F5" s="53" t="n"/>
      <c r="G5" s="54" t="n"/>
      <c r="H5" s="54" t="n"/>
      <c r="I5" s="55" t="inlineStr">
        <is>
          <t>HAPVIDA/SABRINA</t>
        </is>
      </c>
      <c r="J5" s="56" t="n"/>
      <c r="K5" s="56" t="n"/>
      <c r="L5" s="56">
        <f>IF(J5="","",J5+IF(K5="",0,K5))</f>
        <v/>
      </c>
      <c r="M5" s="57" t="n"/>
      <c r="N5" s="58" t="n"/>
      <c r="O5" s="59" t="inlineStr">
        <is>
          <t>NU</t>
        </is>
      </c>
      <c r="P5" s="60" t="n"/>
      <c r="Q5" s="60" t="n"/>
      <c r="R5" s="60">
        <f>IF(P5="","",P5-IF(Q5="",0,Q5))</f>
        <v/>
      </c>
      <c r="S5" s="60" t="n"/>
      <c r="T5" s="60">
        <f>IF(Q5="","",Q5+IF(S5="",0,S5))</f>
        <v/>
      </c>
      <c r="U5" s="61" t="n"/>
      <c r="V5" s="62" t="n"/>
    </row>
    <row r="6" ht="20" customHeight="1">
      <c r="A6" s="6" t="inlineStr">
        <is>
          <t>ALUGUÉL</t>
        </is>
      </c>
      <c r="B6" s="37" t="n"/>
      <c r="C6" s="38" t="n"/>
      <c r="D6" s="39" t="n"/>
      <c r="E6" s="9" t="inlineStr">
        <is>
          <t>Consignado BB</t>
        </is>
      </c>
      <c r="F6" s="40" t="n"/>
      <c r="G6" s="41" t="n"/>
      <c r="H6" s="41" t="n"/>
      <c r="I6" s="15" t="inlineStr">
        <is>
          <t>HAP EWE E EFRA</t>
        </is>
      </c>
      <c r="J6" s="42" t="n"/>
      <c r="K6" s="42" t="n"/>
      <c r="L6" s="42">
        <f>IF(J6="","",J6+IF(K6="",0,K6))</f>
        <v/>
      </c>
      <c r="M6" s="43" t="n"/>
      <c r="N6" s="44" t="n"/>
      <c r="O6" s="18" t="inlineStr">
        <is>
          <t>Santander SX</t>
        </is>
      </c>
      <c r="P6" s="45" t="n"/>
      <c r="Q6" s="45" t="n"/>
      <c r="R6" s="45">
        <f>IF(P6="","",P6-IF(Q6="",0,Q6))</f>
        <v/>
      </c>
      <c r="S6" s="45" t="n"/>
      <c r="T6" s="45">
        <f>IF(Q6="","",Q6+IF(S6="",0,S6))</f>
        <v/>
      </c>
      <c r="U6" s="46" t="n"/>
      <c r="V6" s="47" t="n"/>
    </row>
    <row r="7" ht="20" customHeight="1">
      <c r="A7" s="48" t="inlineStr">
        <is>
          <t>Wagner</t>
        </is>
      </c>
      <c r="B7" s="49" t="n"/>
      <c r="C7" s="50" t="n"/>
      <c r="D7" s="51" t="n"/>
      <c r="E7" s="52" t="inlineStr">
        <is>
          <t>Emp.Sal.BB</t>
        </is>
      </c>
      <c r="F7" s="53" t="n"/>
      <c r="G7" s="54" t="n"/>
      <c r="H7" s="54" t="n"/>
      <c r="I7" s="55" t="inlineStr">
        <is>
          <t>CELPA ENERGIA</t>
        </is>
      </c>
      <c r="J7" s="56" t="n"/>
      <c r="K7" s="56" t="n"/>
      <c r="L7" s="56">
        <f>IF(J7="","",J7+IF(K7="",0,K7))</f>
        <v/>
      </c>
      <c r="M7" s="57" t="n"/>
      <c r="N7" s="58" t="n"/>
      <c r="O7" s="59" t="inlineStr">
        <is>
          <t>SELITE</t>
        </is>
      </c>
      <c r="P7" s="60" t="n"/>
      <c r="Q7" s="60" t="n"/>
      <c r="R7" s="60">
        <f>IF(P7="","",P7-IF(Q7="",0,Q7))</f>
        <v/>
      </c>
      <c r="S7" s="60" t="n"/>
      <c r="T7" s="60">
        <f>IF(Q7="","",Q7+IF(S7="",0,S7))</f>
        <v/>
      </c>
      <c r="U7" s="61" t="n"/>
      <c r="V7" s="62" t="n"/>
    </row>
    <row r="8" ht="20" customHeight="1">
      <c r="A8" s="6" t="inlineStr">
        <is>
          <t>Neto</t>
        </is>
      </c>
      <c r="B8" s="37" t="n"/>
      <c r="C8" s="38" t="n"/>
      <c r="D8" s="39" t="n"/>
      <c r="E8" s="9" t="inlineStr">
        <is>
          <t>AUX.TRANSP</t>
        </is>
      </c>
      <c r="F8" s="40" t="n"/>
      <c r="G8" s="41" t="n"/>
      <c r="H8" s="41" t="n"/>
      <c r="I8" s="15" t="inlineStr">
        <is>
          <t>SEATELECOM</t>
        </is>
      </c>
      <c r="J8" s="42" t="n"/>
      <c r="K8" s="42" t="n"/>
      <c r="L8" s="42">
        <f>IF(J8="","",J8+IF(K8="",0,K8))</f>
        <v/>
      </c>
      <c r="M8" s="43" t="n"/>
      <c r="N8" s="44" t="n"/>
      <c r="O8" s="18" t="inlineStr">
        <is>
          <t>Caixa Gold</t>
        </is>
      </c>
      <c r="P8" s="45" t="n"/>
      <c r="Q8" s="45" t="n"/>
      <c r="R8" s="45">
        <f>IF(P8="","",P8-IF(Q8="",0,Q8))</f>
        <v/>
      </c>
      <c r="S8" s="45" t="n"/>
      <c r="T8" s="45">
        <f>IF(Q8="","",Q8+IF(S8="",0,S8))</f>
        <v/>
      </c>
      <c r="U8" s="46" t="n"/>
      <c r="V8" s="47" t="n"/>
    </row>
    <row r="9" ht="20" customHeight="1">
      <c r="A9" s="48" t="inlineStr">
        <is>
          <t>UAB</t>
        </is>
      </c>
      <c r="B9" s="49" t="n"/>
      <c r="C9" s="50" t="n"/>
      <c r="D9" s="51" t="n"/>
      <c r="E9" s="52" t="inlineStr">
        <is>
          <t>CONTRI.SOCIAL</t>
        </is>
      </c>
      <c r="F9" s="53" t="n"/>
      <c r="G9" s="54" t="n"/>
      <c r="H9" s="54" t="n"/>
      <c r="I9" s="55" t="inlineStr">
        <is>
          <t>TX.ÁLAMO</t>
        </is>
      </c>
      <c r="J9" s="56" t="n"/>
      <c r="K9" s="56" t="n"/>
      <c r="L9" s="56">
        <f>IF(J9="","",J9+IF(K9="",0,K9))</f>
        <v/>
      </c>
      <c r="M9" s="57" t="n"/>
      <c r="N9" s="58" t="n"/>
      <c r="O9" s="59" t="inlineStr">
        <is>
          <t>Cartão MP</t>
        </is>
      </c>
      <c r="P9" s="60" t="n"/>
      <c r="Q9" s="60" t="n"/>
      <c r="R9" s="60">
        <f>IF(P9="","",P9-IF(Q9="",0,Q9))</f>
        <v/>
      </c>
      <c r="S9" s="60" t="n"/>
      <c r="T9" s="60">
        <f>IF(Q9="","",Q9+IF(S9="",0,S9))</f>
        <v/>
      </c>
      <c r="U9" s="61" t="n"/>
      <c r="V9" s="62" t="n"/>
    </row>
    <row r="10" ht="20" customHeight="1">
      <c r="A10" s="6" t="inlineStr"/>
      <c r="B10" s="37" t="n"/>
      <c r="C10" s="38" t="n"/>
      <c r="D10" s="39" t="n"/>
      <c r="E10" s="9" t="inlineStr">
        <is>
          <t>IRRF</t>
        </is>
      </c>
      <c r="F10" s="40" t="n"/>
      <c r="G10" s="41" t="n"/>
      <c r="H10" s="41" t="n"/>
      <c r="I10" s="15" t="inlineStr">
        <is>
          <t>CONTA TIM</t>
        </is>
      </c>
      <c r="J10" s="42" t="n"/>
      <c r="K10" s="42" t="n"/>
      <c r="L10" s="42">
        <f>IF(J10="","",J10+IF(K10="",0,K10))</f>
        <v/>
      </c>
      <c r="M10" s="43" t="n"/>
      <c r="N10" s="44" t="n"/>
      <c r="O10" s="18" t="inlineStr">
        <is>
          <t>PicPay Card</t>
        </is>
      </c>
      <c r="P10" s="45" t="n"/>
      <c r="Q10" s="45" t="n"/>
      <c r="R10" s="45">
        <f>IF(P10="","",P10-IF(Q10="",0,Q10))</f>
        <v/>
      </c>
      <c r="S10" s="45" t="n"/>
      <c r="T10" s="45">
        <f>IF(Q10="","",Q10+IF(S10="",0,S10))</f>
        <v/>
      </c>
      <c r="U10" s="46" t="n"/>
      <c r="V10" s="47" t="n"/>
    </row>
    <row r="11" ht="20" customHeight="1">
      <c r="A11" s="48" t="inlineStr"/>
      <c r="B11" s="49" t="n"/>
      <c r="C11" s="50" t="n"/>
      <c r="D11" s="51" t="n"/>
      <c r="E11" s="52" t="inlineStr">
        <is>
          <t>AUX.PRÉ.ESC</t>
        </is>
      </c>
      <c r="F11" s="53" t="n"/>
      <c r="G11" s="54" t="n"/>
      <c r="H11" s="54" t="n"/>
      <c r="I11" s="55" t="inlineStr">
        <is>
          <t>CONTA CLARO</t>
        </is>
      </c>
      <c r="J11" s="56" t="n"/>
      <c r="K11" s="56" t="n"/>
      <c r="L11" s="56">
        <f>IF(J11="","",J11+IF(K11="",0,K11))</f>
        <v/>
      </c>
      <c r="M11" s="57" t="n"/>
      <c r="N11" s="58" t="n"/>
      <c r="O11" s="59" t="inlineStr">
        <is>
          <t>Itaú Card</t>
        </is>
      </c>
      <c r="P11" s="60" t="n"/>
      <c r="Q11" s="60" t="n"/>
      <c r="R11" s="60">
        <f>IF(P11="","",P11-IF(Q11="",0,Q11))</f>
        <v/>
      </c>
      <c r="S11" s="60" t="n"/>
      <c r="T11" s="60">
        <f>IF(Q11="","",Q11+IF(S11="",0,S11))</f>
        <v/>
      </c>
      <c r="U11" s="61" t="n"/>
      <c r="V11" s="62" t="n"/>
    </row>
    <row r="12" ht="20" customHeight="1">
      <c r="A12" s="6" t="inlineStr"/>
      <c r="B12" s="37" t="n"/>
      <c r="C12" s="38" t="n"/>
      <c r="D12" s="39" t="n"/>
      <c r="E12" s="9" t="inlineStr">
        <is>
          <t>Dízimo</t>
        </is>
      </c>
      <c r="F12" s="40" t="n"/>
      <c r="G12" s="41" t="n"/>
      <c r="H12" s="41" t="n"/>
      <c r="I12" s="15" t="inlineStr">
        <is>
          <t>MAXÍDOMINI</t>
        </is>
      </c>
      <c r="J12" s="42" t="n"/>
      <c r="K12" s="42" t="n"/>
      <c r="L12" s="42">
        <f>IF(J12="","",J12+IF(K12="",0,K12))</f>
        <v/>
      </c>
      <c r="M12" s="43" t="n"/>
      <c r="N12" s="44" t="n"/>
      <c r="O12" s="18" t="inlineStr">
        <is>
          <t>CAIXA ELO</t>
        </is>
      </c>
      <c r="P12" s="45" t="n"/>
      <c r="Q12" s="45" t="n"/>
      <c r="R12" s="45">
        <f>IF(P12="","",P12-IF(Q12="",0,Q12))</f>
        <v/>
      </c>
      <c r="S12" s="45" t="n"/>
      <c r="T12" s="45">
        <f>IF(Q12="","",Q12+IF(S12="",0,S12))</f>
        <v/>
      </c>
      <c r="U12" s="46" t="n"/>
      <c r="V12" s="47" t="n"/>
    </row>
    <row r="13" ht="20" customHeight="1">
      <c r="A13" s="48" t="inlineStr"/>
      <c r="B13" s="49" t="n"/>
      <c r="C13" s="50" t="n"/>
      <c r="D13" s="51" t="n"/>
      <c r="E13" s="52" t="inlineStr"/>
      <c r="F13" s="53" t="n"/>
      <c r="G13" s="54" t="n"/>
      <c r="H13" s="54" t="n"/>
      <c r="I13" s="55" t="inlineStr">
        <is>
          <t>COSANPA/ÁGUA</t>
        </is>
      </c>
      <c r="J13" s="56" t="n"/>
      <c r="K13" s="56" t="n"/>
      <c r="L13" s="56">
        <f>IF(J13="","",J13+IF(K13="",0,K13))</f>
        <v/>
      </c>
      <c r="M13" s="57" t="n"/>
      <c r="N13" s="58" t="n"/>
      <c r="O13" s="59" t="inlineStr">
        <is>
          <t>Bradesco</t>
        </is>
      </c>
      <c r="P13" s="60" t="n"/>
      <c r="Q13" s="60" t="n"/>
      <c r="R13" s="60">
        <f>IF(P13="","",P13-IF(Q13="",0,Q13))</f>
        <v/>
      </c>
      <c r="S13" s="60" t="n"/>
      <c r="T13" s="60">
        <f>IF(Q13="","",Q13+IF(S13="",0,S13))</f>
        <v/>
      </c>
      <c r="U13" s="61" t="n"/>
      <c r="V13" s="62" t="n"/>
    </row>
    <row r="14" ht="20" customHeight="1">
      <c r="A14" s="6" t="inlineStr"/>
      <c r="B14" s="37" t="n"/>
      <c r="C14" s="38" t="n"/>
      <c r="D14" s="39" t="n"/>
      <c r="E14" s="9" t="inlineStr"/>
      <c r="F14" s="40" t="n"/>
      <c r="G14" s="41" t="n"/>
      <c r="H14" s="41" t="n"/>
      <c r="I14" s="15" t="inlineStr">
        <is>
          <t>ESCOLA SALMOM</t>
        </is>
      </c>
      <c r="J14" s="42" t="n"/>
      <c r="K14" s="42" t="n"/>
      <c r="L14" s="42">
        <f>IF(J14="","",J14+IF(K14="",0,K14))</f>
        <v/>
      </c>
      <c r="M14" s="43" t="n"/>
      <c r="N14" s="44" t="n"/>
      <c r="O14" s="18" t="inlineStr">
        <is>
          <t>RecargaPay</t>
        </is>
      </c>
      <c r="P14" s="45" t="n"/>
      <c r="Q14" s="45" t="n"/>
      <c r="R14" s="45">
        <f>IF(P14="","",P14-IF(Q14="",0,Q14))</f>
        <v/>
      </c>
      <c r="S14" s="45" t="n"/>
      <c r="T14" s="45">
        <f>IF(Q14="","",Q14+IF(S14="",0,S14))</f>
        <v/>
      </c>
      <c r="U14" s="46" t="n"/>
      <c r="V14" s="47" t="n"/>
    </row>
    <row r="15" ht="20" customHeight="1">
      <c r="A15" s="48" t="inlineStr"/>
      <c r="B15" s="49" t="n"/>
      <c r="C15" s="50" t="n"/>
      <c r="D15" s="51" t="n"/>
      <c r="E15" s="52" t="inlineStr"/>
      <c r="F15" s="53" t="n"/>
      <c r="G15" s="54" t="n"/>
      <c r="H15" s="54" t="n"/>
      <c r="I15" s="55" t="inlineStr">
        <is>
          <t>CORECON</t>
        </is>
      </c>
      <c r="J15" s="56" t="n"/>
      <c r="K15" s="56" t="n"/>
      <c r="L15" s="56">
        <f>IF(J15="","",J15+IF(K15="",0,K15))</f>
        <v/>
      </c>
      <c r="M15" s="57" t="n"/>
      <c r="N15" s="58" t="n"/>
      <c r="O15" s="59" t="inlineStr">
        <is>
          <t>BipaCard</t>
        </is>
      </c>
      <c r="P15" s="60" t="n"/>
      <c r="Q15" s="60" t="n"/>
      <c r="R15" s="60">
        <f>IF(P15="","",P15-IF(Q15="",0,Q15))</f>
        <v/>
      </c>
      <c r="S15" s="60" t="n"/>
      <c r="T15" s="60">
        <f>IF(Q15="","",Q15+IF(S15="",0,S15))</f>
        <v/>
      </c>
      <c r="U15" s="61" t="n"/>
      <c r="V15" s="62" t="n"/>
    </row>
    <row r="16" ht="20" customHeight="1">
      <c r="A16" s="6" t="inlineStr"/>
      <c r="B16" s="37" t="n"/>
      <c r="C16" s="38" t="n"/>
      <c r="D16" s="39" t="n"/>
      <c r="E16" s="9" t="inlineStr"/>
      <c r="F16" s="40" t="n"/>
      <c r="G16" s="41" t="n"/>
      <c r="H16" s="41" t="n"/>
      <c r="I16" s="15" t="inlineStr">
        <is>
          <t>Boticário</t>
        </is>
      </c>
      <c r="J16" s="42" t="n"/>
      <c r="K16" s="42" t="n"/>
      <c r="L16" s="42">
        <f>IF(J16="","",J16+IF(K16="",0,K16))</f>
        <v/>
      </c>
      <c r="M16" s="43" t="n"/>
      <c r="N16" s="44" t="n"/>
      <c r="O16" s="18" t="inlineStr">
        <is>
          <t>InfinitCard</t>
        </is>
      </c>
      <c r="P16" s="45" t="n"/>
      <c r="Q16" s="45" t="n"/>
      <c r="R16" s="45">
        <f>IF(P16="","",P16-IF(Q16="",0,Q16))</f>
        <v/>
      </c>
      <c r="S16" s="45" t="n"/>
      <c r="T16" s="45">
        <f>IF(Q16="","",Q16+IF(S16="",0,S16))</f>
        <v/>
      </c>
      <c r="U16" s="46" t="n"/>
      <c r="V16" s="47" t="n"/>
    </row>
    <row r="17" ht="20" customHeight="1">
      <c r="A17" s="48" t="inlineStr"/>
      <c r="B17" s="49" t="n"/>
      <c r="C17" s="50" t="n"/>
      <c r="D17" s="51" t="n"/>
      <c r="E17" s="52" t="inlineStr"/>
      <c r="F17" s="53" t="n"/>
      <c r="G17" s="54" t="n"/>
      <c r="H17" s="54" t="n"/>
      <c r="I17" s="55" t="inlineStr">
        <is>
          <t>Rodobens</t>
        </is>
      </c>
      <c r="J17" s="56" t="n"/>
      <c r="K17" s="56" t="n"/>
      <c r="L17" s="56">
        <f>IF(J17="","",J17+IF(K17="",0,K17))</f>
        <v/>
      </c>
      <c r="M17" s="57" t="n"/>
      <c r="N17" s="58" t="n"/>
      <c r="O17" s="59" t="inlineStr">
        <is>
          <t>Pagbank</t>
        </is>
      </c>
      <c r="P17" s="60" t="n"/>
      <c r="Q17" s="60" t="n"/>
      <c r="R17" s="60">
        <f>IF(P17="","",P17-IF(Q17="",0,Q17))</f>
        <v/>
      </c>
      <c r="S17" s="60" t="n"/>
      <c r="T17" s="60">
        <f>IF(Q17="","",Q17+IF(S17="",0,S17))</f>
        <v/>
      </c>
      <c r="U17" s="61" t="n"/>
      <c r="V17" s="62" t="n"/>
    </row>
    <row r="18" ht="20" customHeight="1">
      <c r="A18" s="6" t="inlineStr"/>
      <c r="B18" s="37" t="n"/>
      <c r="C18" s="38" t="n"/>
      <c r="D18" s="39" t="n"/>
      <c r="E18" s="9" t="inlineStr"/>
      <c r="F18" s="40" t="n"/>
      <c r="G18" s="41" t="n"/>
      <c r="H18" s="41" t="n"/>
      <c r="I18" s="15" t="inlineStr"/>
      <c r="J18" s="42" t="n"/>
      <c r="K18" s="42" t="n"/>
      <c r="L18" s="42">
        <f>IF(J18="","",J18+IF(K18="",0,K18))</f>
        <v/>
      </c>
      <c r="M18" s="43" t="n"/>
      <c r="N18" s="44" t="n"/>
      <c r="O18" s="18" t="inlineStr">
        <is>
          <t>TonCard</t>
        </is>
      </c>
      <c r="P18" s="45" t="n"/>
      <c r="Q18" s="45" t="n"/>
      <c r="R18" s="45">
        <f>IF(P18="","",P18-IF(Q18="",0,Q18))</f>
        <v/>
      </c>
      <c r="S18" s="45" t="n"/>
      <c r="T18" s="45">
        <f>IF(Q18="","",Q18+IF(S18="",0,S18))</f>
        <v/>
      </c>
      <c r="U18" s="46" t="n"/>
      <c r="V18" s="47" t="n"/>
    </row>
    <row r="19" ht="20" customHeight="1">
      <c r="A19" s="48" t="inlineStr"/>
      <c r="B19" s="49" t="n"/>
      <c r="C19" s="50" t="n"/>
      <c r="D19" s="51" t="n"/>
      <c r="E19" s="52" t="inlineStr"/>
      <c r="F19" s="53" t="n"/>
      <c r="G19" s="54" t="n"/>
      <c r="H19" s="54" t="n"/>
      <c r="I19" s="55" t="inlineStr"/>
      <c r="J19" s="56" t="n"/>
      <c r="K19" s="56" t="n"/>
      <c r="L19" s="56">
        <f>IF(J19="","",J19+IF(K19="",0,K19))</f>
        <v/>
      </c>
      <c r="M19" s="57" t="n"/>
      <c r="N19" s="58" t="n"/>
      <c r="O19" s="59" t="inlineStr"/>
      <c r="P19" s="60" t="n"/>
      <c r="Q19" s="60" t="n"/>
      <c r="R19" s="60">
        <f>IF(P19="","",P19-IF(Q19="",0,Q19))</f>
        <v/>
      </c>
      <c r="S19" s="60" t="n"/>
      <c r="T19" s="60">
        <f>IF(Q19="","",Q19+IF(S19="",0,S19))</f>
        <v/>
      </c>
      <c r="U19" s="61" t="n"/>
      <c r="V19" s="62" t="n"/>
    </row>
    <row r="20" ht="22" customHeight="1">
      <c r="A20" s="63" t="inlineStr">
        <is>
          <t>RECEITA TOTAL</t>
        </is>
      </c>
      <c r="B20" s="8">
        <f>SUM(B4:B19)</f>
        <v/>
      </c>
      <c r="C20" s="64" t="n"/>
      <c r="D20" s="64" t="n"/>
      <c r="E20" s="65" t="inlineStr">
        <is>
          <t>TOTAL DESCONTOS</t>
        </is>
      </c>
      <c r="F20" s="11">
        <f>SUM(F4:F19)</f>
        <v/>
      </c>
      <c r="G20" s="66" t="n"/>
      <c r="H20" s="66" t="n"/>
      <c r="I20" s="67" t="inlineStr">
        <is>
          <t>TOTAL FIXAS (CET)</t>
        </is>
      </c>
      <c r="J20" s="21">
        <f>SUM(J4:J19)</f>
        <v/>
      </c>
      <c r="K20" s="21">
        <f>SUM(K4:K19)</f>
        <v/>
      </c>
      <c r="L20" s="21">
        <f>SUM(L4:L19)</f>
        <v/>
      </c>
      <c r="M20" s="68" t="n"/>
      <c r="N20" s="68" t="n"/>
      <c r="O20" s="69" t="inlineStr">
        <is>
          <t>TOTAL CARTÕES</t>
        </is>
      </c>
      <c r="P20" s="70">
        <f>SUM(P4:P19)</f>
        <v/>
      </c>
      <c r="Q20" s="70">
        <f>SUM(Q4:Q19)</f>
        <v/>
      </c>
      <c r="R20" s="70">
        <f>SUM(R4:R19)</f>
        <v/>
      </c>
      <c r="S20" s="70">
        <f>SUM(S4:S19)</f>
        <v/>
      </c>
      <c r="T20" s="70">
        <f>SUM(T4:T19)</f>
        <v/>
      </c>
      <c r="U20" s="71" t="n"/>
      <c r="V20" s="71" t="n"/>
    </row>
    <row r="21">
      <c r="O21" s="72" t="inlineStr">
        <is>
          <t>¹ SALDO = Fatura − Pago  (valor não quitado = nova dívida do mês)</t>
        </is>
      </c>
    </row>
    <row r="22" ht="22" customHeight="1">
      <c r="A22" s="73" t="inlineStr">
        <is>
          <t>ASSINATURAS ONLINE</t>
        </is>
      </c>
      <c r="F22" s="73" t="inlineStr">
        <is>
          <t>NOTAS / EMPRÉSTIMOS / CONSIGNADOS</t>
        </is>
      </c>
    </row>
    <row r="23" ht="20" customHeight="1">
      <c r="A23" s="74" t="inlineStr">
        <is>
          <t>CARTÃO</t>
        </is>
      </c>
      <c r="B23" s="74" t="inlineStr">
        <is>
          <t>SERVIÇO</t>
        </is>
      </c>
      <c r="C23" s="74" t="inlineStr">
        <is>
          <t>VALOR</t>
        </is>
      </c>
      <c r="D23" s="74" t="inlineStr">
        <is>
          <t>DIA/SITUAÇÃO</t>
        </is>
      </c>
      <c r="F23" s="74" t="inlineStr">
        <is>
          <t>DESCRIÇÃO</t>
        </is>
      </c>
      <c r="G23" s="74" t="inlineStr">
        <is>
          <t>TAXA (am)</t>
        </is>
      </c>
      <c r="H23" s="74" t="inlineStr">
        <is>
          <t>TAXA (aa)</t>
        </is>
      </c>
      <c r="I23" s="74" t="inlineStr">
        <is>
          <t>OBS / SALDO</t>
        </is>
      </c>
    </row>
    <row r="24" ht="18" customHeight="1">
      <c r="A24" s="75" t="inlineStr">
        <is>
          <t>NU</t>
        </is>
      </c>
      <c r="B24" s="22" t="inlineStr">
        <is>
          <t>GDRIVE SABRI</t>
        </is>
      </c>
      <c r="C24" s="23" t="n">
        <v>49.9</v>
      </c>
      <c r="D24" s="22" t="inlineStr">
        <is>
          <t>DIA 04 — CRÉDITO (NU)</t>
        </is>
      </c>
      <c r="F24" s="22" t="inlineStr">
        <is>
          <t>Consignado Nubank 1</t>
        </is>
      </c>
      <c r="G24" s="75" t="inlineStr">
        <is>
          <t>1.30% am</t>
        </is>
      </c>
      <c r="H24" s="75" t="inlineStr">
        <is>
          <t>16.74% aa</t>
        </is>
      </c>
      <c r="I24" s="22" t="inlineStr">
        <is>
          <t>73x</t>
        </is>
      </c>
    </row>
    <row r="25" ht="18" customHeight="1">
      <c r="A25" s="76" t="inlineStr">
        <is>
          <t>NU</t>
        </is>
      </c>
      <c r="B25" s="77" t="inlineStr">
        <is>
          <t>CONTA TIM</t>
        </is>
      </c>
      <c r="C25" s="78" t="n">
        <v>42</v>
      </c>
      <c r="D25" s="77" t="inlineStr">
        <is>
          <t>DIA 15 — PG MANUAL</t>
        </is>
      </c>
      <c r="F25" s="77" t="inlineStr">
        <is>
          <t>Consignado Nubank 2</t>
        </is>
      </c>
      <c r="G25" s="76" t="inlineStr">
        <is>
          <t>1.57% am</t>
        </is>
      </c>
      <c r="H25" s="76" t="inlineStr">
        <is>
          <t>21.85% aa</t>
        </is>
      </c>
      <c r="I25" s="77" t="inlineStr">
        <is>
          <t>96x — saldo R$776,82</t>
        </is>
      </c>
    </row>
    <row r="26" ht="18" customHeight="1">
      <c r="A26" s="75" t="inlineStr">
        <is>
          <t>SANTANDER SX</t>
        </is>
      </c>
      <c r="B26" s="22" t="inlineStr">
        <is>
          <t>PLANO CLARO</t>
        </is>
      </c>
      <c r="C26" s="23" t="n">
        <v>73.73</v>
      </c>
      <c r="D26" s="22" t="inlineStr">
        <is>
          <t>DIA 09 — PG MANUAL</t>
        </is>
      </c>
      <c r="F26" s="22" t="inlineStr">
        <is>
          <t>Fin. Habitação CAIXA</t>
        </is>
      </c>
      <c r="G26" s="75" t="inlineStr">
        <is>
          <t>7% nominal</t>
        </is>
      </c>
      <c r="H26" s="75" t="inlineStr"/>
      <c r="I26" s="22" t="inlineStr"/>
    </row>
    <row r="27" ht="18" customHeight="1">
      <c r="A27" s="76" t="inlineStr">
        <is>
          <t>NU</t>
        </is>
      </c>
      <c r="B27" s="77" t="inlineStr">
        <is>
          <t>YOUTUBE ST</t>
        </is>
      </c>
      <c r="C27" s="78" t="n">
        <v>53.9</v>
      </c>
      <c r="D27" s="77" t="inlineStr">
        <is>
          <t>DIA 25 — CRÉDITO (NU)</t>
        </is>
      </c>
      <c r="F27" s="77" t="inlineStr">
        <is>
          <t>Empréstimo Sabrina</t>
        </is>
      </c>
      <c r="G27" s="76" t="inlineStr"/>
      <c r="H27" s="76" t="inlineStr"/>
      <c r="I27" s="77" t="inlineStr">
        <is>
          <t>saldo R$2.503,46</t>
        </is>
      </c>
    </row>
    <row r="28" ht="18" customHeight="1">
      <c r="A28" s="75" t="inlineStr">
        <is>
          <t>NU</t>
        </is>
      </c>
      <c r="B28" s="22" t="inlineStr">
        <is>
          <t>ICLOUD</t>
        </is>
      </c>
      <c r="C28" s="23" t="n">
        <v>5.9</v>
      </c>
      <c r="D28" s="22" t="inlineStr">
        <is>
          <t>DIA 01 — CRÉDITO (NU)</t>
        </is>
      </c>
      <c r="F28" s="22" t="inlineStr">
        <is>
          <t>Empréstimo Josy</t>
        </is>
      </c>
      <c r="G28" s="75" t="inlineStr"/>
      <c r="H28" s="75" t="inlineStr"/>
      <c r="I28" s="22" t="inlineStr"/>
    </row>
    <row r="29" ht="18" customHeight="1">
      <c r="A29" s="76" t="inlineStr"/>
      <c r="B29" s="77" t="inlineStr">
        <is>
          <t>Serasa</t>
        </is>
      </c>
      <c r="C29" s="78" t="n">
        <v>23.9</v>
      </c>
      <c r="D29" s="77" t="inlineStr">
        <is>
          <t xml:space="preserve">DIA 17 — </t>
        </is>
      </c>
      <c r="F29" s="77" t="inlineStr"/>
      <c r="G29" s="76" t="inlineStr"/>
      <c r="H29" s="76" t="inlineStr"/>
      <c r="I29" s="77" t="inlineStr"/>
    </row>
    <row r="30" ht="18" customHeight="1">
      <c r="A30" s="75" t="inlineStr"/>
      <c r="B30" s="22" t="inlineStr">
        <is>
          <t>Kindle</t>
        </is>
      </c>
      <c r="C30" s="23" t="n">
        <v>24</v>
      </c>
      <c r="D30" s="22" t="inlineStr"/>
      <c r="F30" s="22" t="inlineStr"/>
      <c r="G30" s="75" t="inlineStr"/>
      <c r="H30" s="75" t="inlineStr"/>
      <c r="I30" s="22" t="inlineStr"/>
    </row>
    <row r="31" ht="18" customHeight="1">
      <c r="A31" s="76" t="inlineStr">
        <is>
          <t>NU</t>
        </is>
      </c>
      <c r="B31" s="77" t="inlineStr">
        <is>
          <t>GPT</t>
        </is>
      </c>
      <c r="C31" s="78" t="n">
        <v>130</v>
      </c>
      <c r="D31" s="77" t="inlineStr">
        <is>
          <t>DIA 02 — CRÉDITO (NU)</t>
        </is>
      </c>
    </row>
    <row r="32" ht="18" customHeight="1">
      <c r="A32" s="75" t="inlineStr">
        <is>
          <t>NU</t>
        </is>
      </c>
      <c r="B32" s="22" t="inlineStr">
        <is>
          <t>Copilot</t>
        </is>
      </c>
      <c r="C32" s="23" t="n">
        <v>109.9</v>
      </c>
      <c r="D32" s="22" t="inlineStr">
        <is>
          <t>DIA 04 — CRÉDITO (NU)</t>
        </is>
      </c>
    </row>
    <row r="33" ht="18" customHeight="1">
      <c r="A33" s="76" t="inlineStr">
        <is>
          <t>NU</t>
        </is>
      </c>
      <c r="B33" s="77" t="inlineStr">
        <is>
          <t>WORD</t>
        </is>
      </c>
      <c r="C33" s="78" t="n">
        <v>0</v>
      </c>
      <c r="D33" s="77" t="inlineStr">
        <is>
          <t>Anual — CRÉDITO (NU)</t>
        </is>
      </c>
    </row>
    <row r="34" ht="18" customHeight="1">
      <c r="A34" s="75" t="inlineStr">
        <is>
          <t>NU</t>
        </is>
      </c>
      <c r="B34" s="22" t="inlineStr">
        <is>
          <t>GDRIVE EWE</t>
        </is>
      </c>
      <c r="C34" s="23" t="n">
        <v>0</v>
      </c>
      <c r="D34" s="22" t="inlineStr">
        <is>
          <t>Ago/26 — CRÉDITO (NU)</t>
        </is>
      </c>
    </row>
    <row r="35" ht="18" customHeight="1">
      <c r="A35" s="76" t="inlineStr"/>
      <c r="B35" s="77" t="inlineStr">
        <is>
          <t>PDFVIEW</t>
        </is>
      </c>
      <c r="C35" s="78" t="n">
        <v>0</v>
      </c>
      <c r="D35" s="77" t="inlineStr">
        <is>
          <t>CRÉDITO (NU)</t>
        </is>
      </c>
    </row>
    <row r="36" ht="20" customHeight="1">
      <c r="A36" s="79" t="inlineStr">
        <is>
          <t>TOTAL ASSINATURAS</t>
        </is>
      </c>
      <c r="C36" s="24">
        <f>SUM(C24:C35)</f>
        <v/>
      </c>
      <c r="D36" s="3" t="n"/>
    </row>
    <row r="38" ht="22" customHeight="1">
      <c r="A38" s="80" t="inlineStr">
        <is>
          <t>CHEQUE ESPECIAL / DÍVIDAS FINANCEIRAS</t>
        </is>
      </c>
    </row>
    <row r="39" ht="22" customHeight="1">
      <c r="A39" s="35" t="inlineStr">
        <is>
          <t>BANCO</t>
        </is>
      </c>
      <c r="B39" s="35" t="inlineStr">
        <is>
          <t>LIMITE</t>
        </is>
      </c>
      <c r="C39" s="35" t="inlineStr">
        <is>
          <t>USADO</t>
        </is>
      </c>
      <c r="D39" s="35" t="inlineStr">
        <is>
          <t>JUROS MÊS</t>
        </is>
      </c>
      <c r="E39" s="35" t="inlineStr">
        <is>
          <t>TAXA % aa</t>
        </is>
      </c>
      <c r="F39" s="35" t="inlineStr">
        <is>
          <t>DIAS</t>
        </is>
      </c>
      <c r="G39" s="35" t="inlineStr">
        <is>
          <t>SITUAÇÃO</t>
        </is>
      </c>
    </row>
    <row r="40" ht="19" customHeight="1">
      <c r="A40" s="15" t="inlineStr">
        <is>
          <t>BB</t>
        </is>
      </c>
      <c r="B40" s="16" t="n"/>
      <c r="C40" s="16" t="n"/>
      <c r="D40" s="16" t="n"/>
      <c r="E40" s="81" t="n"/>
      <c r="F40" s="81" t="n"/>
      <c r="G40" s="81" t="n"/>
    </row>
    <row r="41" ht="19" customHeight="1">
      <c r="A41" s="55" t="inlineStr">
        <is>
          <t>Santander</t>
        </is>
      </c>
      <c r="B41" s="82" t="n"/>
      <c r="C41" s="82" t="n"/>
      <c r="D41" s="82" t="n"/>
      <c r="E41" s="83" t="n"/>
      <c r="F41" s="83" t="n"/>
      <c r="G41" s="83" t="n"/>
    </row>
    <row r="42" ht="19" customHeight="1">
      <c r="A42" s="15" t="inlineStr">
        <is>
          <t>Caixa</t>
        </is>
      </c>
      <c r="B42" s="16" t="n"/>
      <c r="C42" s="16" t="n"/>
      <c r="D42" s="16" t="n"/>
      <c r="E42" s="81" t="n"/>
      <c r="F42" s="81" t="n"/>
      <c r="G42" s="81" t="n"/>
    </row>
    <row r="43" ht="19" customHeight="1">
      <c r="A43" s="55" t="inlineStr">
        <is>
          <t>Itaú</t>
        </is>
      </c>
      <c r="B43" s="82" t="n"/>
      <c r="C43" s="82" t="n"/>
      <c r="D43" s="82" t="n"/>
      <c r="E43" s="83" t="n"/>
      <c r="F43" s="83" t="n"/>
      <c r="G43" s="83" t="n"/>
    </row>
    <row r="44" ht="19" customHeight="1">
      <c r="A44" s="15" t="inlineStr">
        <is>
          <t>Bradesco</t>
        </is>
      </c>
      <c r="B44" s="16" t="n"/>
      <c r="C44" s="16" t="n"/>
      <c r="D44" s="16" t="n"/>
      <c r="E44" s="81" t="n"/>
      <c r="F44" s="81" t="n"/>
      <c r="G44" s="81" t="n"/>
    </row>
    <row r="45" ht="20" customHeight="1">
      <c r="A45" s="67" t="inlineStr">
        <is>
          <t>TOTAL CHEQUE ESPECIAL</t>
        </is>
      </c>
      <c r="C45" s="21">
        <f>SUM(C40:C44)</f>
        <v/>
      </c>
      <c r="D45" s="21">
        <f>SUM(D40:D44)</f>
        <v/>
      </c>
      <c r="E45" s="84" t="n"/>
      <c r="F45" s="84" t="n"/>
      <c r="G45" s="84" t="n"/>
    </row>
    <row r="47" ht="28" customHeight="1">
      <c r="A47" s="28" t="inlineStr">
        <is>
          <t xml:space="preserve">  ══  RESULTADO DO MÊS  ══</t>
        </is>
      </c>
    </row>
    <row r="48" ht="19" customHeight="1">
      <c r="A48" s="6" t="inlineStr">
        <is>
          <t>Receita Bruta</t>
        </is>
      </c>
      <c r="F48" s="7">
        <f>B20</f>
        <v/>
      </c>
    </row>
    <row r="49" ht="19" customHeight="1">
      <c r="A49" s="9" t="inlineStr">
        <is>
          <t>(−) Descontos em Folha</t>
        </is>
      </c>
      <c r="F49" s="10">
        <f>F20</f>
        <v/>
      </c>
    </row>
    <row r="50" ht="24" customHeight="1">
      <c r="A50" s="85">
        <f> Receita Líquida</f>
        <v/>
      </c>
      <c r="F50" s="14">
        <f>F48-F49</f>
        <v/>
      </c>
    </row>
    <row r="51" ht="19" customHeight="1">
      <c r="A51" s="15" t="inlineStr">
        <is>
          <t>(−) Despesas Fixas (CET)</t>
        </is>
      </c>
      <c r="F51" s="16">
        <f>L20</f>
        <v/>
      </c>
    </row>
    <row r="52" ht="19" customHeight="1">
      <c r="A52" s="18" t="inlineStr">
        <is>
          <t>(−) Cartões — Valor Pago</t>
        </is>
      </c>
      <c r="F52" s="19">
        <f>Q20</f>
        <v/>
      </c>
    </row>
    <row r="53" ht="19" customHeight="1">
      <c r="A53" s="18" t="inlineStr">
        <is>
          <t>(−) Juros dos Cartões</t>
        </is>
      </c>
      <c r="F53" s="19">
        <f>S20</f>
        <v/>
      </c>
    </row>
    <row r="54" ht="19" customHeight="1">
      <c r="A54" s="15" t="inlineStr">
        <is>
          <t>(−) Juros Cheque Especial</t>
        </is>
      </c>
      <c r="F54" s="16">
        <f>D45</f>
        <v/>
      </c>
    </row>
    <row r="55" ht="19" customHeight="1">
      <c r="A55" s="22" t="inlineStr">
        <is>
          <t>(−) Assinaturas Online</t>
        </is>
      </c>
      <c r="F55" s="23">
        <f>C36</f>
        <v/>
      </c>
    </row>
    <row r="56" ht="24" customHeight="1">
      <c r="A56" s="86">
        <f> SALDO REAL DO MÊS</f>
        <v/>
      </c>
      <c r="F56" s="27">
        <f>F50-F51-F52-F53-F54-F55</f>
        <v/>
      </c>
    </row>
    <row r="57" ht="19" customHeight="1">
      <c r="A57" s="15" t="inlineStr">
        <is>
          <t>⚠  Nova Dívida (cartões não pagos)</t>
        </is>
      </c>
      <c r="F57" s="16">
        <f>R20</f>
        <v/>
      </c>
    </row>
    <row r="59" ht="22" customHeight="1">
      <c r="A59" s="73" t="inlineStr">
        <is>
          <t>CONTAS E SALDOS</t>
        </is>
      </c>
    </row>
    <row r="60" ht="18" customHeight="1">
      <c r="A60" s="74" t="inlineStr">
        <is>
          <t>BANCO / CARTEIRA</t>
        </is>
      </c>
      <c r="B60" s="74" t="inlineStr">
        <is>
          <t>SALDO (R$)</t>
        </is>
      </c>
      <c r="C60" s="74" t="inlineStr">
        <is>
          <t>OBS</t>
        </is>
      </c>
    </row>
    <row r="61" ht="18" customHeight="1">
      <c r="A61" s="22" t="inlineStr">
        <is>
          <t>Saldo CC BB</t>
        </is>
      </c>
      <c r="B61" s="23" t="n"/>
      <c r="C61" s="87" t="n"/>
    </row>
    <row r="62" ht="18" customHeight="1">
      <c r="A62" s="77" t="inlineStr">
        <is>
          <t>Santander</t>
        </is>
      </c>
      <c r="B62" s="78" t="n"/>
      <c r="C62" s="88" t="n"/>
    </row>
    <row r="63" ht="18" customHeight="1">
      <c r="A63" s="22" t="inlineStr">
        <is>
          <t>Caixa</t>
        </is>
      </c>
      <c r="B63" s="23" t="n"/>
      <c r="C63" s="87" t="n"/>
    </row>
    <row r="64" ht="18" customHeight="1">
      <c r="A64" s="77" t="inlineStr">
        <is>
          <t>Bipa</t>
        </is>
      </c>
      <c r="B64" s="78" t="n"/>
      <c r="C64" s="88" t="n"/>
    </row>
    <row r="65" ht="18" customHeight="1">
      <c r="A65" s="22" t="inlineStr">
        <is>
          <t>Nubank</t>
        </is>
      </c>
      <c r="B65" s="23" t="n"/>
      <c r="C65" s="87" t="n"/>
    </row>
    <row r="66" ht="18" customHeight="1">
      <c r="A66" s="77" t="inlineStr">
        <is>
          <t>Itaú</t>
        </is>
      </c>
      <c r="B66" s="78" t="n"/>
      <c r="C66" s="88" t="n"/>
    </row>
    <row r="67" ht="18" customHeight="1">
      <c r="A67" s="22" t="inlineStr">
        <is>
          <t>MP</t>
        </is>
      </c>
      <c r="B67" s="23" t="n"/>
      <c r="C67" s="87" t="n"/>
    </row>
    <row r="68" ht="18" customHeight="1">
      <c r="A68" s="77" t="inlineStr">
        <is>
          <t>KuCoin</t>
        </is>
      </c>
      <c r="B68" s="78" t="n"/>
      <c r="C68" s="88" t="n"/>
    </row>
    <row r="69" ht="18" customHeight="1">
      <c r="A69" s="22" t="inlineStr">
        <is>
          <t>Ton</t>
        </is>
      </c>
      <c r="B69" s="23" t="n"/>
      <c r="C69" s="87" t="n"/>
    </row>
    <row r="70" ht="18" customHeight="1">
      <c r="A70" s="77" t="inlineStr">
        <is>
          <t>Picpay</t>
        </is>
      </c>
      <c r="B70" s="78" t="n"/>
      <c r="C70" s="88" t="n"/>
    </row>
    <row r="71" ht="18" customHeight="1">
      <c r="A71" s="22" t="inlineStr">
        <is>
          <t>Recargapay</t>
        </is>
      </c>
      <c r="B71" s="23" t="n"/>
      <c r="C71" s="87" t="n"/>
    </row>
    <row r="72" ht="18" customHeight="1">
      <c r="A72" s="77" t="inlineStr">
        <is>
          <t>Infinitepay</t>
        </is>
      </c>
      <c r="B72" s="78" t="n"/>
      <c r="C72" s="88" t="n"/>
    </row>
    <row r="73" ht="18" customHeight="1">
      <c r="A73" s="22" t="inlineStr">
        <is>
          <t>PagBank</t>
        </is>
      </c>
      <c r="B73" s="23" t="n"/>
      <c r="C73" s="87" t="n"/>
    </row>
    <row r="74" ht="18" customHeight="1">
      <c r="A74" s="77" t="inlineStr">
        <is>
          <t>C6 BANK</t>
        </is>
      </c>
      <c r="B74" s="78" t="n"/>
      <c r="C74" s="88" t="n"/>
    </row>
    <row r="75" ht="18" customHeight="1">
      <c r="A75" s="22" t="inlineStr">
        <is>
          <t>INTER</t>
        </is>
      </c>
      <c r="B75" s="23" t="n"/>
      <c r="C75" s="87" t="n"/>
    </row>
    <row r="76" ht="18" customHeight="1">
      <c r="A76" s="77" t="inlineStr">
        <is>
          <t>Bradesco</t>
        </is>
      </c>
      <c r="B76" s="78" t="n"/>
      <c r="C76" s="88" t="n"/>
    </row>
    <row r="77" ht="18" customHeight="1">
      <c r="A77" s="22" t="inlineStr">
        <is>
          <t>BTG</t>
        </is>
      </c>
      <c r="B77" s="23" t="n"/>
      <c r="C77" s="87" t="n"/>
    </row>
    <row r="78" ht="20" customHeight="1">
      <c r="A78" s="79" t="inlineStr">
        <is>
          <t>TOTAL EM CONTAS</t>
        </is>
      </c>
      <c r="B78" s="24">
        <f>SUM(B61:B77)</f>
        <v/>
      </c>
      <c r="C78" s="3" t="n"/>
    </row>
  </sheetData>
  <mergeCells count="23">
    <mergeCell ref="A48:E48"/>
    <mergeCell ref="A22:D22"/>
    <mergeCell ref="A45:B45"/>
    <mergeCell ref="A49:E49"/>
    <mergeCell ref="A51:E51"/>
    <mergeCell ref="A36:B36"/>
    <mergeCell ref="A38:G38"/>
    <mergeCell ref="A47:F47"/>
    <mergeCell ref="A54:E54"/>
    <mergeCell ref="A56:E56"/>
    <mergeCell ref="A55:E55"/>
    <mergeCell ref="A50:E50"/>
    <mergeCell ref="A57:E57"/>
    <mergeCell ref="A1:V1"/>
    <mergeCell ref="O21:V21"/>
    <mergeCell ref="A59:C59"/>
    <mergeCell ref="A53:E53"/>
    <mergeCell ref="I2:N2"/>
    <mergeCell ref="O2:V2"/>
    <mergeCell ref="A52:E52"/>
    <mergeCell ref="A2:D2"/>
    <mergeCell ref="E2:H2"/>
    <mergeCell ref="F22:I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3" customWidth="1" min="3" max="3"/>
    <col width="12" customWidth="1" min="4" max="4"/>
    <col width="24" customWidth="1" min="5" max="5"/>
    <col width="14" customWidth="1" min="6" max="6"/>
    <col width="13" customWidth="1" min="7" max="7"/>
    <col width="13" customWidth="1" min="8" max="8"/>
    <col width="24" customWidth="1" min="9" max="9"/>
    <col width="12" customWidth="1" min="10" max="10"/>
    <col width="9" customWidth="1" min="11" max="11"/>
    <col width="12" customWidth="1" min="12" max="12"/>
    <col width="13" customWidth="1" min="13" max="13"/>
    <col width="12" customWidth="1" min="14" max="14"/>
    <col width="16" customWidth="1" min="15" max="15"/>
    <col width="14" customWidth="1" min="16" max="16"/>
    <col width="14" customWidth="1" min="17" max="17"/>
    <col width="12" customWidth="1" min="18" max="18"/>
    <col width="9" customWidth="1" min="19" max="19"/>
    <col width="12" customWidth="1" min="20" max="20"/>
    <col width="13" customWidth="1" min="21" max="21"/>
    <col width="16" customWidth="1" min="22" max="22"/>
  </cols>
  <sheetData>
    <row r="1" ht="30" customHeight="1">
      <c r="A1" s="28" t="inlineStr">
        <is>
          <t>ORÇAMENTO  FEVEREIRO  2026</t>
        </is>
      </c>
    </row>
    <row r="2" ht="22" customHeight="1">
      <c r="A2" s="29" t="inlineStr">
        <is>
          <t>▶  FONTES DE RECEITA</t>
        </is>
      </c>
      <c r="E2" s="30" t="inlineStr">
        <is>
          <t>▶  DESCONTOS EM FOLHA</t>
        </is>
      </c>
      <c r="I2" s="31" t="inlineStr">
        <is>
          <t>▶  DESPESAS FIXAS</t>
        </is>
      </c>
      <c r="O2" s="32" t="inlineStr">
        <is>
          <t>▶  DESPESAS COM CARTÕES</t>
        </is>
      </c>
    </row>
    <row r="3" ht="26" customHeight="1">
      <c r="A3" s="33" t="inlineStr">
        <is>
          <t>ORIGEM</t>
        </is>
      </c>
      <c r="B3" s="33" t="inlineStr">
        <is>
          <t>VALOR</t>
        </is>
      </c>
      <c r="C3" s="33" t="inlineStr">
        <is>
          <t>SITUAÇÃO</t>
        </is>
      </c>
      <c r="D3" s="33" t="inlineStr">
        <is>
          <t>DATA PG</t>
        </is>
      </c>
      <c r="E3" s="34" t="inlineStr">
        <is>
          <t>ORIGEM</t>
        </is>
      </c>
      <c r="F3" s="34" t="inlineStr">
        <is>
          <t>VALOR</t>
        </is>
      </c>
      <c r="G3" s="34" t="inlineStr">
        <is>
          <t>INFO</t>
        </is>
      </c>
      <c r="H3" s="34" t="inlineStr">
        <is>
          <t>OBS</t>
        </is>
      </c>
      <c r="I3" s="35" t="inlineStr">
        <is>
          <t>ORIGEM</t>
        </is>
      </c>
      <c r="J3" s="35" t="inlineStr">
        <is>
          <t>VALOR</t>
        </is>
      </c>
      <c r="K3" s="35" t="inlineStr">
        <is>
          <t>JUROS</t>
        </is>
      </c>
      <c r="L3" s="35" t="inlineStr">
        <is>
          <t>CET</t>
        </is>
      </c>
      <c r="M3" s="35" t="inlineStr">
        <is>
          <t>SITUAÇÃO</t>
        </is>
      </c>
      <c r="N3" s="35" t="inlineStr">
        <is>
          <t>DATA PG</t>
        </is>
      </c>
      <c r="O3" s="36" t="inlineStr">
        <is>
          <t>CARTÃO</t>
        </is>
      </c>
      <c r="P3" s="36" t="inlineStr">
        <is>
          <t>FATURA</t>
        </is>
      </c>
      <c r="Q3" s="36" t="inlineStr">
        <is>
          <t>PAGO</t>
        </is>
      </c>
      <c r="R3" s="36" t="inlineStr">
        <is>
          <t>SALDO¹</t>
        </is>
      </c>
      <c r="S3" s="36" t="inlineStr">
        <is>
          <t>JUROS</t>
        </is>
      </c>
      <c r="T3" s="36" t="inlineStr">
        <is>
          <t>CET</t>
        </is>
      </c>
      <c r="U3" s="36" t="inlineStr">
        <is>
          <t>SITUAÇÃO</t>
        </is>
      </c>
      <c r="V3" s="36" t="inlineStr">
        <is>
          <t>DATA PG</t>
        </is>
      </c>
    </row>
    <row r="4" ht="20" customHeight="1">
      <c r="A4" s="6" t="inlineStr">
        <is>
          <t>SALÁRIO</t>
        </is>
      </c>
      <c r="B4" s="37" t="n"/>
      <c r="C4" s="38" t="n"/>
      <c r="D4" s="39" t="n"/>
      <c r="E4" s="9" t="inlineStr">
        <is>
          <t>Consignado V.Nbk</t>
        </is>
      </c>
      <c r="F4" s="40" t="n"/>
      <c r="G4" s="41" t="n"/>
      <c r="H4" s="41" t="n"/>
      <c r="I4" s="15" t="inlineStr">
        <is>
          <t>HAPVIDA/SALMINHO</t>
        </is>
      </c>
      <c r="J4" s="42" t="n"/>
      <c r="K4" s="42" t="n"/>
      <c r="L4" s="42">
        <f>IF(J4="","",J4+IF(K4="",0,K4))</f>
        <v/>
      </c>
      <c r="M4" s="43" t="n"/>
      <c r="N4" s="44" t="n"/>
      <c r="O4" s="18" t="inlineStr">
        <is>
          <t>BB</t>
        </is>
      </c>
      <c r="P4" s="45" t="n"/>
      <c r="Q4" s="45" t="n"/>
      <c r="R4" s="45">
        <f>IF(P4="","",P4-IF(Q4="",0,Q4))</f>
        <v/>
      </c>
      <c r="S4" s="45" t="n"/>
      <c r="T4" s="45">
        <f>IF(Q4="","",Q4+IF(S4="",0,S4))</f>
        <v/>
      </c>
      <c r="U4" s="46" t="n"/>
      <c r="V4" s="47" t="n"/>
    </row>
    <row r="5" ht="20" customHeight="1">
      <c r="A5" s="48" t="inlineStr">
        <is>
          <t>Kalena OF/NET</t>
        </is>
      </c>
      <c r="B5" s="49" t="n"/>
      <c r="C5" s="50" t="n"/>
      <c r="D5" s="51" t="n"/>
      <c r="E5" s="52" t="inlineStr">
        <is>
          <t>Caixa Habitação</t>
        </is>
      </c>
      <c r="F5" s="53" t="n"/>
      <c r="G5" s="54" t="n"/>
      <c r="H5" s="54" t="n"/>
      <c r="I5" s="55" t="inlineStr">
        <is>
          <t>HAPVIDA/SABRINA</t>
        </is>
      </c>
      <c r="J5" s="56" t="n"/>
      <c r="K5" s="56" t="n"/>
      <c r="L5" s="56">
        <f>IF(J5="","",J5+IF(K5="",0,K5))</f>
        <v/>
      </c>
      <c r="M5" s="57" t="n"/>
      <c r="N5" s="58" t="n"/>
      <c r="O5" s="59" t="inlineStr">
        <is>
          <t>NU</t>
        </is>
      </c>
      <c r="P5" s="60" t="n"/>
      <c r="Q5" s="60" t="n"/>
      <c r="R5" s="60">
        <f>IF(P5="","",P5-IF(Q5="",0,Q5))</f>
        <v/>
      </c>
      <c r="S5" s="60" t="n"/>
      <c r="T5" s="60">
        <f>IF(Q5="","",Q5+IF(S5="",0,S5))</f>
        <v/>
      </c>
      <c r="U5" s="61" t="n"/>
      <c r="V5" s="62" t="n"/>
    </row>
    <row r="6" ht="20" customHeight="1">
      <c r="A6" s="6" t="inlineStr">
        <is>
          <t>ALUGUÉL</t>
        </is>
      </c>
      <c r="B6" s="37" t="n"/>
      <c r="C6" s="38" t="n"/>
      <c r="D6" s="39" t="n"/>
      <c r="E6" s="9" t="inlineStr">
        <is>
          <t>Consignado BB</t>
        </is>
      </c>
      <c r="F6" s="40" t="n"/>
      <c r="G6" s="41" t="n"/>
      <c r="H6" s="41" t="n"/>
      <c r="I6" s="15" t="inlineStr">
        <is>
          <t>HAP EWE E EFRA</t>
        </is>
      </c>
      <c r="J6" s="42" t="n"/>
      <c r="K6" s="42" t="n"/>
      <c r="L6" s="42">
        <f>IF(J6="","",J6+IF(K6="",0,K6))</f>
        <v/>
      </c>
      <c r="M6" s="43" t="n"/>
      <c r="N6" s="44" t="n"/>
      <c r="O6" s="18" t="inlineStr">
        <is>
          <t>Santander SX</t>
        </is>
      </c>
      <c r="P6" s="45" t="n"/>
      <c r="Q6" s="45" t="n"/>
      <c r="R6" s="45">
        <f>IF(P6="","",P6-IF(Q6="",0,Q6))</f>
        <v/>
      </c>
      <c r="S6" s="45" t="n"/>
      <c r="T6" s="45">
        <f>IF(Q6="","",Q6+IF(S6="",0,S6))</f>
        <v/>
      </c>
      <c r="U6" s="46" t="n"/>
      <c r="V6" s="47" t="n"/>
    </row>
    <row r="7" ht="20" customHeight="1">
      <c r="A7" s="48" t="inlineStr">
        <is>
          <t>Wagner</t>
        </is>
      </c>
      <c r="B7" s="49" t="n"/>
      <c r="C7" s="50" t="n"/>
      <c r="D7" s="51" t="n"/>
      <c r="E7" s="52" t="inlineStr">
        <is>
          <t>Emp.Sal.BB</t>
        </is>
      </c>
      <c r="F7" s="53" t="n"/>
      <c r="G7" s="54" t="n"/>
      <c r="H7" s="54" t="n"/>
      <c r="I7" s="55" t="inlineStr">
        <is>
          <t>CELPA ENERGIA</t>
        </is>
      </c>
      <c r="J7" s="56" t="n"/>
      <c r="K7" s="56" t="n"/>
      <c r="L7" s="56">
        <f>IF(J7="","",J7+IF(K7="",0,K7))</f>
        <v/>
      </c>
      <c r="M7" s="57" t="n"/>
      <c r="N7" s="58" t="n"/>
      <c r="O7" s="59" t="inlineStr">
        <is>
          <t>SELITE</t>
        </is>
      </c>
      <c r="P7" s="60" t="n"/>
      <c r="Q7" s="60" t="n"/>
      <c r="R7" s="60">
        <f>IF(P7="","",P7-IF(Q7="",0,Q7))</f>
        <v/>
      </c>
      <c r="S7" s="60" t="n"/>
      <c r="T7" s="60">
        <f>IF(Q7="","",Q7+IF(S7="",0,S7))</f>
        <v/>
      </c>
      <c r="U7" s="61" t="n"/>
      <c r="V7" s="62" t="n"/>
    </row>
    <row r="8" ht="20" customHeight="1">
      <c r="A8" s="6" t="inlineStr">
        <is>
          <t>Neto</t>
        </is>
      </c>
      <c r="B8" s="37" t="n"/>
      <c r="C8" s="38" t="n"/>
      <c r="D8" s="39" t="n"/>
      <c r="E8" s="9" t="inlineStr">
        <is>
          <t>AUX.TRANSP</t>
        </is>
      </c>
      <c r="F8" s="40" t="n"/>
      <c r="G8" s="41" t="n"/>
      <c r="H8" s="41" t="n"/>
      <c r="I8" s="15" t="inlineStr">
        <is>
          <t>SEATELECOM</t>
        </is>
      </c>
      <c r="J8" s="42" t="n"/>
      <c r="K8" s="42" t="n"/>
      <c r="L8" s="42">
        <f>IF(J8="","",J8+IF(K8="",0,K8))</f>
        <v/>
      </c>
      <c r="M8" s="43" t="n"/>
      <c r="N8" s="44" t="n"/>
      <c r="O8" s="18" t="inlineStr">
        <is>
          <t>Caixa Gold</t>
        </is>
      </c>
      <c r="P8" s="45" t="n"/>
      <c r="Q8" s="45" t="n"/>
      <c r="R8" s="45">
        <f>IF(P8="","",P8-IF(Q8="",0,Q8))</f>
        <v/>
      </c>
      <c r="S8" s="45" t="n"/>
      <c r="T8" s="45">
        <f>IF(Q8="","",Q8+IF(S8="",0,S8))</f>
        <v/>
      </c>
      <c r="U8" s="46" t="n"/>
      <c r="V8" s="47" t="n"/>
    </row>
    <row r="9" ht="20" customHeight="1">
      <c r="A9" s="48" t="inlineStr">
        <is>
          <t>UAB</t>
        </is>
      </c>
      <c r="B9" s="49" t="n"/>
      <c r="C9" s="50" t="n"/>
      <c r="D9" s="51" t="n"/>
      <c r="E9" s="52" t="inlineStr">
        <is>
          <t>CONTRI.SOCIAL</t>
        </is>
      </c>
      <c r="F9" s="53" t="n"/>
      <c r="G9" s="54" t="n"/>
      <c r="H9" s="54" t="n"/>
      <c r="I9" s="55" t="inlineStr">
        <is>
          <t>TX.ÁLAMO</t>
        </is>
      </c>
      <c r="J9" s="56" t="n"/>
      <c r="K9" s="56" t="n"/>
      <c r="L9" s="56">
        <f>IF(J9="","",J9+IF(K9="",0,K9))</f>
        <v/>
      </c>
      <c r="M9" s="57" t="n"/>
      <c r="N9" s="58" t="n"/>
      <c r="O9" s="59" t="inlineStr">
        <is>
          <t>Cartão MP</t>
        </is>
      </c>
      <c r="P9" s="60" t="n"/>
      <c r="Q9" s="60" t="n"/>
      <c r="R9" s="60">
        <f>IF(P9="","",P9-IF(Q9="",0,Q9))</f>
        <v/>
      </c>
      <c r="S9" s="60" t="n"/>
      <c r="T9" s="60">
        <f>IF(Q9="","",Q9+IF(S9="",0,S9))</f>
        <v/>
      </c>
      <c r="U9" s="61" t="n"/>
      <c r="V9" s="62" t="n"/>
    </row>
    <row r="10" ht="20" customHeight="1">
      <c r="A10" s="6" t="inlineStr"/>
      <c r="B10" s="37" t="n"/>
      <c r="C10" s="38" t="n"/>
      <c r="D10" s="39" t="n"/>
      <c r="E10" s="9" t="inlineStr">
        <is>
          <t>IRRF</t>
        </is>
      </c>
      <c r="F10" s="40" t="n"/>
      <c r="G10" s="41" t="n"/>
      <c r="H10" s="41" t="n"/>
      <c r="I10" s="15" t="inlineStr">
        <is>
          <t>CONTA TIM</t>
        </is>
      </c>
      <c r="J10" s="42" t="n"/>
      <c r="K10" s="42" t="n"/>
      <c r="L10" s="42">
        <f>IF(J10="","",J10+IF(K10="",0,K10))</f>
        <v/>
      </c>
      <c r="M10" s="43" t="n"/>
      <c r="N10" s="44" t="n"/>
      <c r="O10" s="18" t="inlineStr">
        <is>
          <t>PicPay Card</t>
        </is>
      </c>
      <c r="P10" s="45" t="n"/>
      <c r="Q10" s="45" t="n"/>
      <c r="R10" s="45">
        <f>IF(P10="","",P10-IF(Q10="",0,Q10))</f>
        <v/>
      </c>
      <c r="S10" s="45" t="n"/>
      <c r="T10" s="45">
        <f>IF(Q10="","",Q10+IF(S10="",0,S10))</f>
        <v/>
      </c>
      <c r="U10" s="46" t="n"/>
      <c r="V10" s="47" t="n"/>
    </row>
    <row r="11" ht="20" customHeight="1">
      <c r="A11" s="48" t="inlineStr"/>
      <c r="B11" s="49" t="n"/>
      <c r="C11" s="50" t="n"/>
      <c r="D11" s="51" t="n"/>
      <c r="E11" s="52" t="inlineStr">
        <is>
          <t>AUX.PRÉ.ESC</t>
        </is>
      </c>
      <c r="F11" s="53" t="n"/>
      <c r="G11" s="54" t="n"/>
      <c r="H11" s="54" t="n"/>
      <c r="I11" s="55" t="inlineStr">
        <is>
          <t>CONTA CLARO</t>
        </is>
      </c>
      <c r="J11" s="56" t="n"/>
      <c r="K11" s="56" t="n"/>
      <c r="L11" s="56">
        <f>IF(J11="","",J11+IF(K11="",0,K11))</f>
        <v/>
      </c>
      <c r="M11" s="57" t="n"/>
      <c r="N11" s="58" t="n"/>
      <c r="O11" s="59" t="inlineStr">
        <is>
          <t>Itaú Card</t>
        </is>
      </c>
      <c r="P11" s="60" t="n"/>
      <c r="Q11" s="60" t="n"/>
      <c r="R11" s="60">
        <f>IF(P11="","",P11-IF(Q11="",0,Q11))</f>
        <v/>
      </c>
      <c r="S11" s="60" t="n"/>
      <c r="T11" s="60">
        <f>IF(Q11="","",Q11+IF(S11="",0,S11))</f>
        <v/>
      </c>
      <c r="U11" s="61" t="n"/>
      <c r="V11" s="62" t="n"/>
    </row>
    <row r="12" ht="20" customHeight="1">
      <c r="A12" s="6" t="inlineStr"/>
      <c r="B12" s="37" t="n"/>
      <c r="C12" s="38" t="n"/>
      <c r="D12" s="39" t="n"/>
      <c r="E12" s="9" t="inlineStr">
        <is>
          <t>Dízimo</t>
        </is>
      </c>
      <c r="F12" s="40" t="n"/>
      <c r="G12" s="41" t="n"/>
      <c r="H12" s="41" t="n"/>
      <c r="I12" s="15" t="inlineStr">
        <is>
          <t>MAXÍDOMINI</t>
        </is>
      </c>
      <c r="J12" s="42" t="n"/>
      <c r="K12" s="42" t="n"/>
      <c r="L12" s="42">
        <f>IF(J12="","",J12+IF(K12="",0,K12))</f>
        <v/>
      </c>
      <c r="M12" s="43" t="n"/>
      <c r="N12" s="44" t="n"/>
      <c r="O12" s="18" t="inlineStr">
        <is>
          <t>CAIXA ELO</t>
        </is>
      </c>
      <c r="P12" s="45" t="n"/>
      <c r="Q12" s="45" t="n"/>
      <c r="R12" s="45">
        <f>IF(P12="","",P12-IF(Q12="",0,Q12))</f>
        <v/>
      </c>
      <c r="S12" s="45" t="n"/>
      <c r="T12" s="45">
        <f>IF(Q12="","",Q12+IF(S12="",0,S12))</f>
        <v/>
      </c>
      <c r="U12" s="46" t="n"/>
      <c r="V12" s="47" t="n"/>
    </row>
    <row r="13" ht="20" customHeight="1">
      <c r="A13" s="48" t="inlineStr"/>
      <c r="B13" s="49" t="n"/>
      <c r="C13" s="50" t="n"/>
      <c r="D13" s="51" t="n"/>
      <c r="E13" s="52" t="inlineStr"/>
      <c r="F13" s="53" t="n"/>
      <c r="G13" s="54" t="n"/>
      <c r="H13" s="54" t="n"/>
      <c r="I13" s="55" t="inlineStr">
        <is>
          <t>COSANPA/ÁGUA</t>
        </is>
      </c>
      <c r="J13" s="56" t="n"/>
      <c r="K13" s="56" t="n"/>
      <c r="L13" s="56">
        <f>IF(J13="","",J13+IF(K13="",0,K13))</f>
        <v/>
      </c>
      <c r="M13" s="57" t="n"/>
      <c r="N13" s="58" t="n"/>
      <c r="O13" s="59" t="inlineStr">
        <is>
          <t>Bradesco</t>
        </is>
      </c>
      <c r="P13" s="60" t="n"/>
      <c r="Q13" s="60" t="n"/>
      <c r="R13" s="60">
        <f>IF(P13="","",P13-IF(Q13="",0,Q13))</f>
        <v/>
      </c>
      <c r="S13" s="60" t="n"/>
      <c r="T13" s="60">
        <f>IF(Q13="","",Q13+IF(S13="",0,S13))</f>
        <v/>
      </c>
      <c r="U13" s="61" t="n"/>
      <c r="V13" s="62" t="n"/>
    </row>
    <row r="14" ht="20" customHeight="1">
      <c r="A14" s="6" t="inlineStr"/>
      <c r="B14" s="37" t="n"/>
      <c r="C14" s="38" t="n"/>
      <c r="D14" s="39" t="n"/>
      <c r="E14" s="9" t="inlineStr"/>
      <c r="F14" s="40" t="n"/>
      <c r="G14" s="41" t="n"/>
      <c r="H14" s="41" t="n"/>
      <c r="I14" s="15" t="inlineStr">
        <is>
          <t>ESCOLA SALMOM</t>
        </is>
      </c>
      <c r="J14" s="42" t="n"/>
      <c r="K14" s="42" t="n"/>
      <c r="L14" s="42">
        <f>IF(J14="","",J14+IF(K14="",0,K14))</f>
        <v/>
      </c>
      <c r="M14" s="43" t="n"/>
      <c r="N14" s="44" t="n"/>
      <c r="O14" s="18" t="inlineStr">
        <is>
          <t>RecargaPay</t>
        </is>
      </c>
      <c r="P14" s="45" t="n"/>
      <c r="Q14" s="45" t="n"/>
      <c r="R14" s="45">
        <f>IF(P14="","",P14-IF(Q14="",0,Q14))</f>
        <v/>
      </c>
      <c r="S14" s="45" t="n"/>
      <c r="T14" s="45">
        <f>IF(Q14="","",Q14+IF(S14="",0,S14))</f>
        <v/>
      </c>
      <c r="U14" s="46" t="n"/>
      <c r="V14" s="47" t="n"/>
    </row>
    <row r="15" ht="20" customHeight="1">
      <c r="A15" s="48" t="inlineStr"/>
      <c r="B15" s="49" t="n"/>
      <c r="C15" s="50" t="n"/>
      <c r="D15" s="51" t="n"/>
      <c r="E15" s="52" t="inlineStr"/>
      <c r="F15" s="53" t="n"/>
      <c r="G15" s="54" t="n"/>
      <c r="H15" s="54" t="n"/>
      <c r="I15" s="55" t="inlineStr">
        <is>
          <t>CORECON</t>
        </is>
      </c>
      <c r="J15" s="56" t="n"/>
      <c r="K15" s="56" t="n"/>
      <c r="L15" s="56">
        <f>IF(J15="","",J15+IF(K15="",0,K15))</f>
        <v/>
      </c>
      <c r="M15" s="57" t="n"/>
      <c r="N15" s="58" t="n"/>
      <c r="O15" s="59" t="inlineStr">
        <is>
          <t>BipaCard</t>
        </is>
      </c>
      <c r="P15" s="60" t="n"/>
      <c r="Q15" s="60" t="n"/>
      <c r="R15" s="60">
        <f>IF(P15="","",P15-IF(Q15="",0,Q15))</f>
        <v/>
      </c>
      <c r="S15" s="60" t="n"/>
      <c r="T15" s="60">
        <f>IF(Q15="","",Q15+IF(S15="",0,S15))</f>
        <v/>
      </c>
      <c r="U15" s="61" t="n"/>
      <c r="V15" s="62" t="n"/>
    </row>
    <row r="16" ht="20" customHeight="1">
      <c r="A16" s="6" t="inlineStr"/>
      <c r="B16" s="37" t="n"/>
      <c r="C16" s="38" t="n"/>
      <c r="D16" s="39" t="n"/>
      <c r="E16" s="9" t="inlineStr"/>
      <c r="F16" s="40" t="n"/>
      <c r="G16" s="41" t="n"/>
      <c r="H16" s="41" t="n"/>
      <c r="I16" s="15" t="inlineStr">
        <is>
          <t>Boticário</t>
        </is>
      </c>
      <c r="J16" s="42" t="n"/>
      <c r="K16" s="42" t="n"/>
      <c r="L16" s="42">
        <f>IF(J16="","",J16+IF(K16="",0,K16))</f>
        <v/>
      </c>
      <c r="M16" s="43" t="n"/>
      <c r="N16" s="44" t="n"/>
      <c r="O16" s="18" t="inlineStr">
        <is>
          <t>InfinitCard</t>
        </is>
      </c>
      <c r="P16" s="45" t="n"/>
      <c r="Q16" s="45" t="n"/>
      <c r="R16" s="45">
        <f>IF(P16="","",P16-IF(Q16="",0,Q16))</f>
        <v/>
      </c>
      <c r="S16" s="45" t="n"/>
      <c r="T16" s="45">
        <f>IF(Q16="","",Q16+IF(S16="",0,S16))</f>
        <v/>
      </c>
      <c r="U16" s="46" t="n"/>
      <c r="V16" s="47" t="n"/>
    </row>
    <row r="17" ht="20" customHeight="1">
      <c r="A17" s="48" t="inlineStr"/>
      <c r="B17" s="49" t="n"/>
      <c r="C17" s="50" t="n"/>
      <c r="D17" s="51" t="n"/>
      <c r="E17" s="52" t="inlineStr"/>
      <c r="F17" s="53" t="n"/>
      <c r="G17" s="54" t="n"/>
      <c r="H17" s="54" t="n"/>
      <c r="I17" s="55" t="inlineStr">
        <is>
          <t>Rodobens</t>
        </is>
      </c>
      <c r="J17" s="56" t="n"/>
      <c r="K17" s="56" t="n"/>
      <c r="L17" s="56">
        <f>IF(J17="","",J17+IF(K17="",0,K17))</f>
        <v/>
      </c>
      <c r="M17" s="57" t="n"/>
      <c r="N17" s="58" t="n"/>
      <c r="O17" s="59" t="inlineStr">
        <is>
          <t>Pagbank</t>
        </is>
      </c>
      <c r="P17" s="60" t="n"/>
      <c r="Q17" s="60" t="n"/>
      <c r="R17" s="60">
        <f>IF(P17="","",P17-IF(Q17="",0,Q17))</f>
        <v/>
      </c>
      <c r="S17" s="60" t="n"/>
      <c r="T17" s="60">
        <f>IF(Q17="","",Q17+IF(S17="",0,S17))</f>
        <v/>
      </c>
      <c r="U17" s="61" t="n"/>
      <c r="V17" s="62" t="n"/>
    </row>
    <row r="18" ht="20" customHeight="1">
      <c r="A18" s="6" t="inlineStr"/>
      <c r="B18" s="37" t="n"/>
      <c r="C18" s="38" t="n"/>
      <c r="D18" s="39" t="n"/>
      <c r="E18" s="9" t="inlineStr"/>
      <c r="F18" s="40" t="n"/>
      <c r="G18" s="41" t="n"/>
      <c r="H18" s="41" t="n"/>
      <c r="I18" s="15" t="inlineStr"/>
      <c r="J18" s="42" t="n"/>
      <c r="K18" s="42" t="n"/>
      <c r="L18" s="42">
        <f>IF(J18="","",J18+IF(K18="",0,K18))</f>
        <v/>
      </c>
      <c r="M18" s="43" t="n"/>
      <c r="N18" s="44" t="n"/>
      <c r="O18" s="18" t="inlineStr">
        <is>
          <t>TonCard</t>
        </is>
      </c>
      <c r="P18" s="45" t="n"/>
      <c r="Q18" s="45" t="n"/>
      <c r="R18" s="45">
        <f>IF(P18="","",P18-IF(Q18="",0,Q18))</f>
        <v/>
      </c>
      <c r="S18" s="45" t="n"/>
      <c r="T18" s="45">
        <f>IF(Q18="","",Q18+IF(S18="",0,S18))</f>
        <v/>
      </c>
      <c r="U18" s="46" t="n"/>
      <c r="V18" s="47" t="n"/>
    </row>
    <row r="19" ht="20" customHeight="1">
      <c r="A19" s="48" t="inlineStr"/>
      <c r="B19" s="49" t="n"/>
      <c r="C19" s="50" t="n"/>
      <c r="D19" s="51" t="n"/>
      <c r="E19" s="52" t="inlineStr"/>
      <c r="F19" s="53" t="n"/>
      <c r="G19" s="54" t="n"/>
      <c r="H19" s="54" t="n"/>
      <c r="I19" s="55" t="inlineStr"/>
      <c r="J19" s="56" t="n"/>
      <c r="K19" s="56" t="n"/>
      <c r="L19" s="56">
        <f>IF(J19="","",J19+IF(K19="",0,K19))</f>
        <v/>
      </c>
      <c r="M19" s="57" t="n"/>
      <c r="N19" s="58" t="n"/>
      <c r="O19" s="59" t="inlineStr"/>
      <c r="P19" s="60" t="n"/>
      <c r="Q19" s="60" t="n"/>
      <c r="R19" s="60">
        <f>IF(P19="","",P19-IF(Q19="",0,Q19))</f>
        <v/>
      </c>
      <c r="S19" s="60" t="n"/>
      <c r="T19" s="60">
        <f>IF(Q19="","",Q19+IF(S19="",0,S19))</f>
        <v/>
      </c>
      <c r="U19" s="61" t="n"/>
      <c r="V19" s="62" t="n"/>
    </row>
    <row r="20" ht="22" customHeight="1">
      <c r="A20" s="63" t="inlineStr">
        <is>
          <t>RECEITA TOTAL</t>
        </is>
      </c>
      <c r="B20" s="8">
        <f>SUM(B4:B19)</f>
        <v/>
      </c>
      <c r="C20" s="64" t="n"/>
      <c r="D20" s="64" t="n"/>
      <c r="E20" s="65" t="inlineStr">
        <is>
          <t>TOTAL DESCONTOS</t>
        </is>
      </c>
      <c r="F20" s="11">
        <f>SUM(F4:F19)</f>
        <v/>
      </c>
      <c r="G20" s="66" t="n"/>
      <c r="H20" s="66" t="n"/>
      <c r="I20" s="67" t="inlineStr">
        <is>
          <t>TOTAL FIXAS (CET)</t>
        </is>
      </c>
      <c r="J20" s="21">
        <f>SUM(J4:J19)</f>
        <v/>
      </c>
      <c r="K20" s="21">
        <f>SUM(K4:K19)</f>
        <v/>
      </c>
      <c r="L20" s="21">
        <f>SUM(L4:L19)</f>
        <v/>
      </c>
      <c r="M20" s="68" t="n"/>
      <c r="N20" s="68" t="n"/>
      <c r="O20" s="69" t="inlineStr">
        <is>
          <t>TOTAL CARTÕES</t>
        </is>
      </c>
      <c r="P20" s="70">
        <f>SUM(P4:P19)</f>
        <v/>
      </c>
      <c r="Q20" s="70">
        <f>SUM(Q4:Q19)</f>
        <v/>
      </c>
      <c r="R20" s="70">
        <f>SUM(R4:R19)</f>
        <v/>
      </c>
      <c r="S20" s="70">
        <f>SUM(S4:S19)</f>
        <v/>
      </c>
      <c r="T20" s="70">
        <f>SUM(T4:T19)</f>
        <v/>
      </c>
      <c r="U20" s="71" t="n"/>
      <c r="V20" s="71" t="n"/>
    </row>
    <row r="21">
      <c r="O21" s="72" t="inlineStr">
        <is>
          <t>¹ SALDO = Fatura − Pago  (valor não quitado = nova dívida do mês)</t>
        </is>
      </c>
    </row>
    <row r="22" ht="22" customHeight="1">
      <c r="A22" s="73" t="inlineStr">
        <is>
          <t>ASSINATURAS ONLINE</t>
        </is>
      </c>
      <c r="F22" s="73" t="inlineStr">
        <is>
          <t>NOTAS / EMPRÉSTIMOS / CONSIGNADOS</t>
        </is>
      </c>
    </row>
    <row r="23" ht="20" customHeight="1">
      <c r="A23" s="74" t="inlineStr">
        <is>
          <t>CARTÃO</t>
        </is>
      </c>
      <c r="B23" s="74" t="inlineStr">
        <is>
          <t>SERVIÇO</t>
        </is>
      </c>
      <c r="C23" s="74" t="inlineStr">
        <is>
          <t>VALOR</t>
        </is>
      </c>
      <c r="D23" s="74" t="inlineStr">
        <is>
          <t>DIA/SITUAÇÃO</t>
        </is>
      </c>
      <c r="F23" s="74" t="inlineStr">
        <is>
          <t>DESCRIÇÃO</t>
        </is>
      </c>
      <c r="G23" s="74" t="inlineStr">
        <is>
          <t>TAXA (am)</t>
        </is>
      </c>
      <c r="H23" s="74" t="inlineStr">
        <is>
          <t>TAXA (aa)</t>
        </is>
      </c>
      <c r="I23" s="74" t="inlineStr">
        <is>
          <t>OBS / SALDO</t>
        </is>
      </c>
    </row>
    <row r="24" ht="18" customHeight="1">
      <c r="A24" s="75" t="inlineStr">
        <is>
          <t>NU</t>
        </is>
      </c>
      <c r="B24" s="22" t="inlineStr">
        <is>
          <t>GDRIVE SABRI</t>
        </is>
      </c>
      <c r="C24" s="23" t="n">
        <v>49.9</v>
      </c>
      <c r="D24" s="22" t="inlineStr">
        <is>
          <t>DIA 04 — CRÉDITO (NU)</t>
        </is>
      </c>
      <c r="F24" s="22" t="inlineStr">
        <is>
          <t>Consignado Nubank 1</t>
        </is>
      </c>
      <c r="G24" s="75" t="inlineStr">
        <is>
          <t>1.30% am</t>
        </is>
      </c>
      <c r="H24" s="75" t="inlineStr">
        <is>
          <t>16.74% aa</t>
        </is>
      </c>
      <c r="I24" s="22" t="inlineStr">
        <is>
          <t>73x</t>
        </is>
      </c>
    </row>
    <row r="25" ht="18" customHeight="1">
      <c r="A25" s="76" t="inlineStr">
        <is>
          <t>NU</t>
        </is>
      </c>
      <c r="B25" s="77" t="inlineStr">
        <is>
          <t>CONTA TIM</t>
        </is>
      </c>
      <c r="C25" s="78" t="n">
        <v>42</v>
      </c>
      <c r="D25" s="77" t="inlineStr">
        <is>
          <t>DIA 15 — PG MANUAL</t>
        </is>
      </c>
      <c r="F25" s="77" t="inlineStr">
        <is>
          <t>Consignado Nubank 2</t>
        </is>
      </c>
      <c r="G25" s="76" t="inlineStr">
        <is>
          <t>1.57% am</t>
        </is>
      </c>
      <c r="H25" s="76" t="inlineStr">
        <is>
          <t>21.85% aa</t>
        </is>
      </c>
      <c r="I25" s="77" t="inlineStr">
        <is>
          <t>96x — saldo R$776,82</t>
        </is>
      </c>
    </row>
    <row r="26" ht="18" customHeight="1">
      <c r="A26" s="75" t="inlineStr">
        <is>
          <t>SANTANDER SX</t>
        </is>
      </c>
      <c r="B26" s="22" t="inlineStr">
        <is>
          <t>PLANO CLARO</t>
        </is>
      </c>
      <c r="C26" s="23" t="n">
        <v>73.73</v>
      </c>
      <c r="D26" s="22" t="inlineStr">
        <is>
          <t>DIA 09 — PG MANUAL</t>
        </is>
      </c>
      <c r="F26" s="22" t="inlineStr">
        <is>
          <t>Fin. Habitação CAIXA</t>
        </is>
      </c>
      <c r="G26" s="75" t="inlineStr">
        <is>
          <t>7% nominal</t>
        </is>
      </c>
      <c r="H26" s="75" t="inlineStr"/>
      <c r="I26" s="22" t="inlineStr"/>
    </row>
    <row r="27" ht="18" customHeight="1">
      <c r="A27" s="76" t="inlineStr">
        <is>
          <t>NU</t>
        </is>
      </c>
      <c r="B27" s="77" t="inlineStr">
        <is>
          <t>YOUTUBE ST</t>
        </is>
      </c>
      <c r="C27" s="78" t="n">
        <v>53.9</v>
      </c>
      <c r="D27" s="77" t="inlineStr">
        <is>
          <t>DIA 25 — CRÉDITO (NU)</t>
        </is>
      </c>
      <c r="F27" s="77" t="inlineStr">
        <is>
          <t>Empréstimo Sabrina</t>
        </is>
      </c>
      <c r="G27" s="76" t="inlineStr"/>
      <c r="H27" s="76" t="inlineStr"/>
      <c r="I27" s="77" t="inlineStr">
        <is>
          <t>saldo R$2.503,46</t>
        </is>
      </c>
    </row>
    <row r="28" ht="18" customHeight="1">
      <c r="A28" s="75" t="inlineStr">
        <is>
          <t>NU</t>
        </is>
      </c>
      <c r="B28" s="22" t="inlineStr">
        <is>
          <t>ICLOUD</t>
        </is>
      </c>
      <c r="C28" s="23" t="n">
        <v>5.9</v>
      </c>
      <c r="D28" s="22" t="inlineStr">
        <is>
          <t>DIA 01 — CRÉDITO (NU)</t>
        </is>
      </c>
      <c r="F28" s="22" t="inlineStr">
        <is>
          <t>Empréstimo Josy</t>
        </is>
      </c>
      <c r="G28" s="75" t="inlineStr"/>
      <c r="H28" s="75" t="inlineStr"/>
      <c r="I28" s="22" t="inlineStr"/>
    </row>
    <row r="29" ht="18" customHeight="1">
      <c r="A29" s="76" t="inlineStr"/>
      <c r="B29" s="77" t="inlineStr">
        <is>
          <t>Serasa</t>
        </is>
      </c>
      <c r="C29" s="78" t="n">
        <v>23.9</v>
      </c>
      <c r="D29" s="77" t="inlineStr">
        <is>
          <t xml:space="preserve">DIA 17 — </t>
        </is>
      </c>
      <c r="F29" s="77" t="inlineStr"/>
      <c r="G29" s="76" t="inlineStr"/>
      <c r="H29" s="76" t="inlineStr"/>
      <c r="I29" s="77" t="inlineStr"/>
    </row>
    <row r="30" ht="18" customHeight="1">
      <c r="A30" s="75" t="inlineStr"/>
      <c r="B30" s="22" t="inlineStr">
        <is>
          <t>Kindle</t>
        </is>
      </c>
      <c r="C30" s="23" t="n">
        <v>24</v>
      </c>
      <c r="D30" s="22" t="inlineStr"/>
      <c r="F30" s="22" t="inlineStr"/>
      <c r="G30" s="75" t="inlineStr"/>
      <c r="H30" s="75" t="inlineStr"/>
      <c r="I30" s="22" t="inlineStr"/>
    </row>
    <row r="31" ht="18" customHeight="1">
      <c r="A31" s="76" t="inlineStr">
        <is>
          <t>NU</t>
        </is>
      </c>
      <c r="B31" s="77" t="inlineStr">
        <is>
          <t>GPT</t>
        </is>
      </c>
      <c r="C31" s="78" t="n">
        <v>130</v>
      </c>
      <c r="D31" s="77" t="inlineStr">
        <is>
          <t>DIA 02 — CRÉDITO (NU)</t>
        </is>
      </c>
    </row>
    <row r="32" ht="18" customHeight="1">
      <c r="A32" s="75" t="inlineStr">
        <is>
          <t>NU</t>
        </is>
      </c>
      <c r="B32" s="22" t="inlineStr">
        <is>
          <t>Copilot</t>
        </is>
      </c>
      <c r="C32" s="23" t="n">
        <v>109.9</v>
      </c>
      <c r="D32" s="22" t="inlineStr">
        <is>
          <t>DIA 04 — CRÉDITO (NU)</t>
        </is>
      </c>
    </row>
    <row r="33" ht="18" customHeight="1">
      <c r="A33" s="76" t="inlineStr">
        <is>
          <t>NU</t>
        </is>
      </c>
      <c r="B33" s="77" t="inlineStr">
        <is>
          <t>WORD</t>
        </is>
      </c>
      <c r="C33" s="78" t="n">
        <v>0</v>
      </c>
      <c r="D33" s="77" t="inlineStr">
        <is>
          <t>Anual — CRÉDITO (NU)</t>
        </is>
      </c>
    </row>
    <row r="34" ht="18" customHeight="1">
      <c r="A34" s="75" t="inlineStr">
        <is>
          <t>NU</t>
        </is>
      </c>
      <c r="B34" s="22" t="inlineStr">
        <is>
          <t>GDRIVE EWE</t>
        </is>
      </c>
      <c r="C34" s="23" t="n">
        <v>0</v>
      </c>
      <c r="D34" s="22" t="inlineStr">
        <is>
          <t>Ago/26 — CRÉDITO (NU)</t>
        </is>
      </c>
    </row>
    <row r="35" ht="18" customHeight="1">
      <c r="A35" s="76" t="inlineStr"/>
      <c r="B35" s="77" t="inlineStr">
        <is>
          <t>PDFVIEW</t>
        </is>
      </c>
      <c r="C35" s="78" t="n">
        <v>0</v>
      </c>
      <c r="D35" s="77" t="inlineStr">
        <is>
          <t>CRÉDITO (NU)</t>
        </is>
      </c>
    </row>
    <row r="36" ht="20" customHeight="1">
      <c r="A36" s="79" t="inlineStr">
        <is>
          <t>TOTAL ASSINATURAS</t>
        </is>
      </c>
      <c r="C36" s="24">
        <f>SUM(C24:C35)</f>
        <v/>
      </c>
      <c r="D36" s="3" t="n"/>
    </row>
    <row r="38" ht="22" customHeight="1">
      <c r="A38" s="80" t="inlineStr">
        <is>
          <t>CHEQUE ESPECIAL / DÍVIDAS FINANCEIRAS</t>
        </is>
      </c>
    </row>
    <row r="39" ht="22" customHeight="1">
      <c r="A39" s="35" t="inlineStr">
        <is>
          <t>BANCO</t>
        </is>
      </c>
      <c r="B39" s="35" t="inlineStr">
        <is>
          <t>LIMITE</t>
        </is>
      </c>
      <c r="C39" s="35" t="inlineStr">
        <is>
          <t>USADO</t>
        </is>
      </c>
      <c r="D39" s="35" t="inlineStr">
        <is>
          <t>JUROS MÊS</t>
        </is>
      </c>
      <c r="E39" s="35" t="inlineStr">
        <is>
          <t>TAXA % aa</t>
        </is>
      </c>
      <c r="F39" s="35" t="inlineStr">
        <is>
          <t>DIAS</t>
        </is>
      </c>
      <c r="G39" s="35" t="inlineStr">
        <is>
          <t>SITUAÇÃO</t>
        </is>
      </c>
    </row>
    <row r="40" ht="19" customHeight="1">
      <c r="A40" s="15" t="inlineStr">
        <is>
          <t>BB</t>
        </is>
      </c>
      <c r="B40" s="16" t="n"/>
      <c r="C40" s="16" t="n"/>
      <c r="D40" s="16" t="n"/>
      <c r="E40" s="81" t="n"/>
      <c r="F40" s="81" t="n"/>
      <c r="G40" s="81" t="n"/>
    </row>
    <row r="41" ht="19" customHeight="1">
      <c r="A41" s="55" t="inlineStr">
        <is>
          <t>Santander</t>
        </is>
      </c>
      <c r="B41" s="82" t="n"/>
      <c r="C41" s="82" t="n"/>
      <c r="D41" s="82" t="n"/>
      <c r="E41" s="83" t="n"/>
      <c r="F41" s="83" t="n"/>
      <c r="G41" s="83" t="n"/>
    </row>
    <row r="42" ht="19" customHeight="1">
      <c r="A42" s="15" t="inlineStr">
        <is>
          <t>Caixa</t>
        </is>
      </c>
      <c r="B42" s="16" t="n"/>
      <c r="C42" s="16" t="n"/>
      <c r="D42" s="16" t="n"/>
      <c r="E42" s="81" t="n"/>
      <c r="F42" s="81" t="n"/>
      <c r="G42" s="81" t="n"/>
    </row>
    <row r="43" ht="19" customHeight="1">
      <c r="A43" s="55" t="inlineStr">
        <is>
          <t>Itaú</t>
        </is>
      </c>
      <c r="B43" s="82" t="n"/>
      <c r="C43" s="82" t="n"/>
      <c r="D43" s="82" t="n"/>
      <c r="E43" s="83" t="n"/>
      <c r="F43" s="83" t="n"/>
      <c r="G43" s="83" t="n"/>
    </row>
    <row r="44" ht="19" customHeight="1">
      <c r="A44" s="15" t="inlineStr">
        <is>
          <t>Bradesco</t>
        </is>
      </c>
      <c r="B44" s="16" t="n"/>
      <c r="C44" s="16" t="n"/>
      <c r="D44" s="16" t="n"/>
      <c r="E44" s="81" t="n"/>
      <c r="F44" s="81" t="n"/>
      <c r="G44" s="81" t="n"/>
    </row>
    <row r="45" ht="20" customHeight="1">
      <c r="A45" s="67" t="inlineStr">
        <is>
          <t>TOTAL CHEQUE ESPECIAL</t>
        </is>
      </c>
      <c r="C45" s="21">
        <f>SUM(C40:C44)</f>
        <v/>
      </c>
      <c r="D45" s="21">
        <f>SUM(D40:D44)</f>
        <v/>
      </c>
      <c r="E45" s="84" t="n"/>
      <c r="F45" s="84" t="n"/>
      <c r="G45" s="84" t="n"/>
    </row>
    <row r="47" ht="28" customHeight="1">
      <c r="A47" s="28" t="inlineStr">
        <is>
          <t xml:space="preserve">  ══  RESULTADO DO MÊS  ══</t>
        </is>
      </c>
    </row>
    <row r="48" ht="19" customHeight="1">
      <c r="A48" s="6" t="inlineStr">
        <is>
          <t>Receita Bruta</t>
        </is>
      </c>
      <c r="F48" s="7">
        <f>B20</f>
        <v/>
      </c>
    </row>
    <row r="49" ht="19" customHeight="1">
      <c r="A49" s="9" t="inlineStr">
        <is>
          <t>(−) Descontos em Folha</t>
        </is>
      </c>
      <c r="F49" s="10">
        <f>F20</f>
        <v/>
      </c>
    </row>
    <row r="50" ht="24" customHeight="1">
      <c r="A50" s="85">
        <f> Receita Líquida</f>
        <v/>
      </c>
      <c r="F50" s="14">
        <f>F48-F49</f>
        <v/>
      </c>
    </row>
    <row r="51" ht="19" customHeight="1">
      <c r="A51" s="15" t="inlineStr">
        <is>
          <t>(−) Despesas Fixas (CET)</t>
        </is>
      </c>
      <c r="F51" s="16">
        <f>L20</f>
        <v/>
      </c>
    </row>
    <row r="52" ht="19" customHeight="1">
      <c r="A52" s="18" t="inlineStr">
        <is>
          <t>(−) Cartões — Valor Pago</t>
        </is>
      </c>
      <c r="F52" s="19">
        <f>Q20</f>
        <v/>
      </c>
    </row>
    <row r="53" ht="19" customHeight="1">
      <c r="A53" s="18" t="inlineStr">
        <is>
          <t>(−) Juros dos Cartões</t>
        </is>
      </c>
      <c r="F53" s="19">
        <f>S20</f>
        <v/>
      </c>
    </row>
    <row r="54" ht="19" customHeight="1">
      <c r="A54" s="15" t="inlineStr">
        <is>
          <t>(−) Juros Cheque Especial</t>
        </is>
      </c>
      <c r="F54" s="16">
        <f>D45</f>
        <v/>
      </c>
    </row>
    <row r="55" ht="19" customHeight="1">
      <c r="A55" s="22" t="inlineStr">
        <is>
          <t>(−) Assinaturas Online</t>
        </is>
      </c>
      <c r="F55" s="23">
        <f>C36</f>
        <v/>
      </c>
    </row>
    <row r="56" ht="24" customHeight="1">
      <c r="A56" s="86">
        <f> SALDO REAL DO MÊS</f>
        <v/>
      </c>
      <c r="F56" s="27">
        <f>F50-F51-F52-F53-F54-F55</f>
        <v/>
      </c>
    </row>
    <row r="57" ht="19" customHeight="1">
      <c r="A57" s="15" t="inlineStr">
        <is>
          <t>⚠  Nova Dívida (cartões não pagos)</t>
        </is>
      </c>
      <c r="F57" s="16">
        <f>R20</f>
        <v/>
      </c>
    </row>
    <row r="59" ht="22" customHeight="1">
      <c r="A59" s="73" t="inlineStr">
        <is>
          <t>CONTAS E SALDOS</t>
        </is>
      </c>
    </row>
    <row r="60" ht="18" customHeight="1">
      <c r="A60" s="74" t="inlineStr">
        <is>
          <t>BANCO / CARTEIRA</t>
        </is>
      </c>
      <c r="B60" s="74" t="inlineStr">
        <is>
          <t>SALDO (R$)</t>
        </is>
      </c>
      <c r="C60" s="74" t="inlineStr">
        <is>
          <t>OBS</t>
        </is>
      </c>
    </row>
    <row r="61" ht="18" customHeight="1">
      <c r="A61" s="22" t="inlineStr">
        <is>
          <t>Saldo CC BB</t>
        </is>
      </c>
      <c r="B61" s="23" t="n"/>
      <c r="C61" s="87" t="n"/>
    </row>
    <row r="62" ht="18" customHeight="1">
      <c r="A62" s="77" t="inlineStr">
        <is>
          <t>Santander</t>
        </is>
      </c>
      <c r="B62" s="78" t="n"/>
      <c r="C62" s="88" t="n"/>
    </row>
    <row r="63" ht="18" customHeight="1">
      <c r="A63" s="22" t="inlineStr">
        <is>
          <t>Caixa</t>
        </is>
      </c>
      <c r="B63" s="23" t="n"/>
      <c r="C63" s="87" t="n"/>
    </row>
    <row r="64" ht="18" customHeight="1">
      <c r="A64" s="77" t="inlineStr">
        <is>
          <t>Bipa</t>
        </is>
      </c>
      <c r="B64" s="78" t="n"/>
      <c r="C64" s="88" t="n"/>
    </row>
    <row r="65" ht="18" customHeight="1">
      <c r="A65" s="22" t="inlineStr">
        <is>
          <t>Nubank</t>
        </is>
      </c>
      <c r="B65" s="23" t="n"/>
      <c r="C65" s="87" t="n"/>
    </row>
    <row r="66" ht="18" customHeight="1">
      <c r="A66" s="77" t="inlineStr">
        <is>
          <t>Itaú</t>
        </is>
      </c>
      <c r="B66" s="78" t="n"/>
      <c r="C66" s="88" t="n"/>
    </row>
    <row r="67" ht="18" customHeight="1">
      <c r="A67" s="22" t="inlineStr">
        <is>
          <t>MP</t>
        </is>
      </c>
      <c r="B67" s="23" t="n"/>
      <c r="C67" s="87" t="n"/>
    </row>
    <row r="68" ht="18" customHeight="1">
      <c r="A68" s="77" t="inlineStr">
        <is>
          <t>KuCoin</t>
        </is>
      </c>
      <c r="B68" s="78" t="n"/>
      <c r="C68" s="88" t="n"/>
    </row>
    <row r="69" ht="18" customHeight="1">
      <c r="A69" s="22" t="inlineStr">
        <is>
          <t>Ton</t>
        </is>
      </c>
      <c r="B69" s="23" t="n"/>
      <c r="C69" s="87" t="n"/>
    </row>
    <row r="70" ht="18" customHeight="1">
      <c r="A70" s="77" t="inlineStr">
        <is>
          <t>Picpay</t>
        </is>
      </c>
      <c r="B70" s="78" t="n"/>
      <c r="C70" s="88" t="n"/>
    </row>
    <row r="71" ht="18" customHeight="1">
      <c r="A71" s="22" t="inlineStr">
        <is>
          <t>Recargapay</t>
        </is>
      </c>
      <c r="B71" s="23" t="n"/>
      <c r="C71" s="87" t="n"/>
    </row>
    <row r="72" ht="18" customHeight="1">
      <c r="A72" s="77" t="inlineStr">
        <is>
          <t>Infinitepay</t>
        </is>
      </c>
      <c r="B72" s="78" t="n"/>
      <c r="C72" s="88" t="n"/>
    </row>
    <row r="73" ht="18" customHeight="1">
      <c r="A73" s="22" t="inlineStr">
        <is>
          <t>PagBank</t>
        </is>
      </c>
      <c r="B73" s="23" t="n"/>
      <c r="C73" s="87" t="n"/>
    </row>
    <row r="74" ht="18" customHeight="1">
      <c r="A74" s="77" t="inlineStr">
        <is>
          <t>C6 BANK</t>
        </is>
      </c>
      <c r="B74" s="78" t="n"/>
      <c r="C74" s="88" t="n"/>
    </row>
    <row r="75" ht="18" customHeight="1">
      <c r="A75" s="22" t="inlineStr">
        <is>
          <t>INTER</t>
        </is>
      </c>
      <c r="B75" s="23" t="n"/>
      <c r="C75" s="87" t="n"/>
    </row>
    <row r="76" ht="18" customHeight="1">
      <c r="A76" s="77" t="inlineStr">
        <is>
          <t>Bradesco</t>
        </is>
      </c>
      <c r="B76" s="78" t="n"/>
      <c r="C76" s="88" t="n"/>
    </row>
    <row r="77" ht="18" customHeight="1">
      <c r="A77" s="22" t="inlineStr">
        <is>
          <t>BTG</t>
        </is>
      </c>
      <c r="B77" s="23" t="n"/>
      <c r="C77" s="87" t="n"/>
    </row>
    <row r="78" ht="20" customHeight="1">
      <c r="A78" s="79" t="inlineStr">
        <is>
          <t>TOTAL EM CONTAS</t>
        </is>
      </c>
      <c r="B78" s="24">
        <f>SUM(B61:B77)</f>
        <v/>
      </c>
      <c r="C78" s="3" t="n"/>
    </row>
  </sheetData>
  <mergeCells count="23">
    <mergeCell ref="A48:E48"/>
    <mergeCell ref="A22:D22"/>
    <mergeCell ref="A45:B45"/>
    <mergeCell ref="A49:E49"/>
    <mergeCell ref="A51:E51"/>
    <mergeCell ref="A36:B36"/>
    <mergeCell ref="A38:G38"/>
    <mergeCell ref="A47:F47"/>
    <mergeCell ref="A54:E54"/>
    <mergeCell ref="A56:E56"/>
    <mergeCell ref="A55:E55"/>
    <mergeCell ref="A50:E50"/>
    <mergeCell ref="A57:E57"/>
    <mergeCell ref="A1:V1"/>
    <mergeCell ref="O21:V21"/>
    <mergeCell ref="A59:C59"/>
    <mergeCell ref="A53:E53"/>
    <mergeCell ref="I2:N2"/>
    <mergeCell ref="O2:V2"/>
    <mergeCell ref="A52:E52"/>
    <mergeCell ref="A2:D2"/>
    <mergeCell ref="E2:H2"/>
    <mergeCell ref="F22:I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3" customWidth="1" min="3" max="3"/>
    <col width="12" customWidth="1" min="4" max="4"/>
    <col width="24" customWidth="1" min="5" max="5"/>
    <col width="14" customWidth="1" min="6" max="6"/>
    <col width="13" customWidth="1" min="7" max="7"/>
    <col width="13" customWidth="1" min="8" max="8"/>
    <col width="24" customWidth="1" min="9" max="9"/>
    <col width="12" customWidth="1" min="10" max="10"/>
    <col width="9" customWidth="1" min="11" max="11"/>
    <col width="12" customWidth="1" min="12" max="12"/>
    <col width="13" customWidth="1" min="13" max="13"/>
    <col width="12" customWidth="1" min="14" max="14"/>
    <col width="16" customWidth="1" min="15" max="15"/>
    <col width="14" customWidth="1" min="16" max="16"/>
    <col width="14" customWidth="1" min="17" max="17"/>
    <col width="12" customWidth="1" min="18" max="18"/>
    <col width="9" customWidth="1" min="19" max="19"/>
    <col width="12" customWidth="1" min="20" max="20"/>
    <col width="13" customWidth="1" min="21" max="21"/>
    <col width="16" customWidth="1" min="22" max="22"/>
  </cols>
  <sheetData>
    <row r="1" ht="30" customHeight="1">
      <c r="A1" s="28" t="inlineStr">
        <is>
          <t>ORÇAMENTO  MARÇO  2026</t>
        </is>
      </c>
    </row>
    <row r="2" ht="22" customHeight="1">
      <c r="A2" s="29" t="inlineStr">
        <is>
          <t>▶  FONTES DE RECEITA</t>
        </is>
      </c>
      <c r="E2" s="30" t="inlineStr">
        <is>
          <t>▶  DESCONTOS EM FOLHA</t>
        </is>
      </c>
      <c r="I2" s="31" t="inlineStr">
        <is>
          <t>▶  DESPESAS FIXAS</t>
        </is>
      </c>
      <c r="O2" s="32" t="inlineStr">
        <is>
          <t>▶  DESPESAS COM CARTÕES</t>
        </is>
      </c>
    </row>
    <row r="3" ht="26" customHeight="1">
      <c r="A3" s="33" t="inlineStr">
        <is>
          <t>ORIGEM</t>
        </is>
      </c>
      <c r="B3" s="33" t="inlineStr">
        <is>
          <t>VALOR</t>
        </is>
      </c>
      <c r="C3" s="33" t="inlineStr">
        <is>
          <t>SITUAÇÃO</t>
        </is>
      </c>
      <c r="D3" s="33" t="inlineStr">
        <is>
          <t>DATA PG</t>
        </is>
      </c>
      <c r="E3" s="34" t="inlineStr">
        <is>
          <t>ORIGEM</t>
        </is>
      </c>
      <c r="F3" s="34" t="inlineStr">
        <is>
          <t>VALOR</t>
        </is>
      </c>
      <c r="G3" s="34" t="inlineStr">
        <is>
          <t>INFO</t>
        </is>
      </c>
      <c r="H3" s="34" t="inlineStr">
        <is>
          <t>OBS</t>
        </is>
      </c>
      <c r="I3" s="35" t="inlineStr">
        <is>
          <t>ORIGEM</t>
        </is>
      </c>
      <c r="J3" s="35" t="inlineStr">
        <is>
          <t>VALOR</t>
        </is>
      </c>
      <c r="K3" s="35" t="inlineStr">
        <is>
          <t>JUROS</t>
        </is>
      </c>
      <c r="L3" s="35" t="inlineStr">
        <is>
          <t>CET</t>
        </is>
      </c>
      <c r="M3" s="35" t="inlineStr">
        <is>
          <t>SITUAÇÃO</t>
        </is>
      </c>
      <c r="N3" s="35" t="inlineStr">
        <is>
          <t>DATA PG</t>
        </is>
      </c>
      <c r="O3" s="36" t="inlineStr">
        <is>
          <t>CARTÃO</t>
        </is>
      </c>
      <c r="P3" s="36" t="inlineStr">
        <is>
          <t>FATURA</t>
        </is>
      </c>
      <c r="Q3" s="36" t="inlineStr">
        <is>
          <t>PAGO</t>
        </is>
      </c>
      <c r="R3" s="36" t="inlineStr">
        <is>
          <t>SALDO¹</t>
        </is>
      </c>
      <c r="S3" s="36" t="inlineStr">
        <is>
          <t>JUROS</t>
        </is>
      </c>
      <c r="T3" s="36" t="inlineStr">
        <is>
          <t>CET</t>
        </is>
      </c>
      <c r="U3" s="36" t="inlineStr">
        <is>
          <t>SITUAÇÃO</t>
        </is>
      </c>
      <c r="V3" s="36" t="inlineStr">
        <is>
          <t>DATA PG</t>
        </is>
      </c>
    </row>
    <row r="4" ht="20" customHeight="1">
      <c r="A4" s="6" t="inlineStr">
        <is>
          <t>SALÁRIO</t>
        </is>
      </c>
      <c r="B4" s="37" t="n"/>
      <c r="C4" s="38" t="n"/>
      <c r="D4" s="39" t="n"/>
      <c r="E4" s="9" t="inlineStr">
        <is>
          <t>Consignado V.Nbk</t>
        </is>
      </c>
      <c r="F4" s="40" t="n"/>
      <c r="G4" s="41" t="n"/>
      <c r="H4" s="41" t="n"/>
      <c r="I4" s="15" t="inlineStr">
        <is>
          <t>HAPVIDA/SALMINHO</t>
        </is>
      </c>
      <c r="J4" s="42" t="n"/>
      <c r="K4" s="42" t="n"/>
      <c r="L4" s="42">
        <f>IF(J4="","",J4+IF(K4="",0,K4))</f>
        <v/>
      </c>
      <c r="M4" s="43" t="n"/>
      <c r="N4" s="44" t="n"/>
      <c r="O4" s="18" t="inlineStr">
        <is>
          <t>BB</t>
        </is>
      </c>
      <c r="P4" s="45" t="n"/>
      <c r="Q4" s="45" t="n"/>
      <c r="R4" s="45">
        <f>IF(P4="","",P4-IF(Q4="",0,Q4))</f>
        <v/>
      </c>
      <c r="S4" s="45" t="n"/>
      <c r="T4" s="45">
        <f>IF(Q4="","",Q4+IF(S4="",0,S4))</f>
        <v/>
      </c>
      <c r="U4" s="46" t="n"/>
      <c r="V4" s="47" t="n"/>
    </row>
    <row r="5" ht="20" customHeight="1">
      <c r="A5" s="48" t="inlineStr">
        <is>
          <t>Kalena OF/NET</t>
        </is>
      </c>
      <c r="B5" s="49" t="n"/>
      <c r="C5" s="50" t="n"/>
      <c r="D5" s="51" t="n"/>
      <c r="E5" s="52" t="inlineStr">
        <is>
          <t>Caixa Habitação</t>
        </is>
      </c>
      <c r="F5" s="53" t="n"/>
      <c r="G5" s="54" t="n"/>
      <c r="H5" s="54" t="n"/>
      <c r="I5" s="55" t="inlineStr">
        <is>
          <t>HAPVIDA/SABRINA</t>
        </is>
      </c>
      <c r="J5" s="56" t="n"/>
      <c r="K5" s="56" t="n"/>
      <c r="L5" s="56">
        <f>IF(J5="","",J5+IF(K5="",0,K5))</f>
        <v/>
      </c>
      <c r="M5" s="57" t="n"/>
      <c r="N5" s="58" t="n"/>
      <c r="O5" s="59" t="inlineStr">
        <is>
          <t>NU</t>
        </is>
      </c>
      <c r="P5" s="60" t="n"/>
      <c r="Q5" s="60" t="n"/>
      <c r="R5" s="60">
        <f>IF(P5="","",P5-IF(Q5="",0,Q5))</f>
        <v/>
      </c>
      <c r="S5" s="60" t="n"/>
      <c r="T5" s="60">
        <f>IF(Q5="","",Q5+IF(S5="",0,S5))</f>
        <v/>
      </c>
      <c r="U5" s="61" t="n"/>
      <c r="V5" s="62" t="n"/>
    </row>
    <row r="6" ht="20" customHeight="1">
      <c r="A6" s="6" t="inlineStr">
        <is>
          <t>ALUGUÉL</t>
        </is>
      </c>
      <c r="B6" s="37" t="n"/>
      <c r="C6" s="38" t="n"/>
      <c r="D6" s="39" t="n"/>
      <c r="E6" s="9" t="inlineStr">
        <is>
          <t>Consignado BB</t>
        </is>
      </c>
      <c r="F6" s="40" t="n"/>
      <c r="G6" s="41" t="n"/>
      <c r="H6" s="41" t="n"/>
      <c r="I6" s="15" t="inlineStr">
        <is>
          <t>HAP EWE E EFRA</t>
        </is>
      </c>
      <c r="J6" s="42" t="n"/>
      <c r="K6" s="42" t="n"/>
      <c r="L6" s="42">
        <f>IF(J6="","",J6+IF(K6="",0,K6))</f>
        <v/>
      </c>
      <c r="M6" s="43" t="n"/>
      <c r="N6" s="44" t="n"/>
      <c r="O6" s="18" t="inlineStr">
        <is>
          <t>Santander SX</t>
        </is>
      </c>
      <c r="P6" s="45" t="n"/>
      <c r="Q6" s="45" t="n"/>
      <c r="R6" s="45">
        <f>IF(P6="","",P6-IF(Q6="",0,Q6))</f>
        <v/>
      </c>
      <c r="S6" s="45" t="n"/>
      <c r="T6" s="45">
        <f>IF(Q6="","",Q6+IF(S6="",0,S6))</f>
        <v/>
      </c>
      <c r="U6" s="46" t="n"/>
      <c r="V6" s="47" t="n"/>
    </row>
    <row r="7" ht="20" customHeight="1">
      <c r="A7" s="48" t="inlineStr">
        <is>
          <t>Wagner</t>
        </is>
      </c>
      <c r="B7" s="49" t="n"/>
      <c r="C7" s="50" t="n"/>
      <c r="D7" s="51" t="n"/>
      <c r="E7" s="52" t="inlineStr">
        <is>
          <t>Emp.Sal.BB</t>
        </is>
      </c>
      <c r="F7" s="53" t="n"/>
      <c r="G7" s="54" t="n"/>
      <c r="H7" s="54" t="n"/>
      <c r="I7" s="55" t="inlineStr">
        <is>
          <t>CELPA ENERGIA</t>
        </is>
      </c>
      <c r="J7" s="56" t="n"/>
      <c r="K7" s="56" t="n"/>
      <c r="L7" s="56">
        <f>IF(J7="","",J7+IF(K7="",0,K7))</f>
        <v/>
      </c>
      <c r="M7" s="57" t="n"/>
      <c r="N7" s="58" t="n"/>
      <c r="O7" s="59" t="inlineStr">
        <is>
          <t>SELITE</t>
        </is>
      </c>
      <c r="P7" s="60" t="n"/>
      <c r="Q7" s="60" t="n"/>
      <c r="R7" s="60">
        <f>IF(P7="","",P7-IF(Q7="",0,Q7))</f>
        <v/>
      </c>
      <c r="S7" s="60" t="n"/>
      <c r="T7" s="60">
        <f>IF(Q7="","",Q7+IF(S7="",0,S7))</f>
        <v/>
      </c>
      <c r="U7" s="61" t="n"/>
      <c r="V7" s="62" t="n"/>
    </row>
    <row r="8" ht="20" customHeight="1">
      <c r="A8" s="6" t="inlineStr">
        <is>
          <t>Neto</t>
        </is>
      </c>
      <c r="B8" s="37" t="n"/>
      <c r="C8" s="38" t="n"/>
      <c r="D8" s="39" t="n"/>
      <c r="E8" s="9" t="inlineStr">
        <is>
          <t>AUX.TRANSP</t>
        </is>
      </c>
      <c r="F8" s="40" t="n"/>
      <c r="G8" s="41" t="n"/>
      <c r="H8" s="41" t="n"/>
      <c r="I8" s="15" t="inlineStr">
        <is>
          <t>SEATELECOM</t>
        </is>
      </c>
      <c r="J8" s="42" t="n"/>
      <c r="K8" s="42" t="n"/>
      <c r="L8" s="42">
        <f>IF(J8="","",J8+IF(K8="",0,K8))</f>
        <v/>
      </c>
      <c r="M8" s="43" t="n"/>
      <c r="N8" s="44" t="n"/>
      <c r="O8" s="18" t="inlineStr">
        <is>
          <t>Caixa Gold</t>
        </is>
      </c>
      <c r="P8" s="45" t="n"/>
      <c r="Q8" s="45" t="n"/>
      <c r="R8" s="45">
        <f>IF(P8="","",P8-IF(Q8="",0,Q8))</f>
        <v/>
      </c>
      <c r="S8" s="45" t="n"/>
      <c r="T8" s="45">
        <f>IF(Q8="","",Q8+IF(S8="",0,S8))</f>
        <v/>
      </c>
      <c r="U8" s="46" t="n"/>
      <c r="V8" s="47" t="n"/>
    </row>
    <row r="9" ht="20" customHeight="1">
      <c r="A9" s="48" t="inlineStr">
        <is>
          <t>UAB</t>
        </is>
      </c>
      <c r="B9" s="49" t="n"/>
      <c r="C9" s="50" t="n"/>
      <c r="D9" s="51" t="n"/>
      <c r="E9" s="52" t="inlineStr">
        <is>
          <t>CONTRI.SOCIAL</t>
        </is>
      </c>
      <c r="F9" s="53" t="n"/>
      <c r="G9" s="54" t="n"/>
      <c r="H9" s="54" t="n"/>
      <c r="I9" s="55" t="inlineStr">
        <is>
          <t>TX.ÁLAMO</t>
        </is>
      </c>
      <c r="J9" s="56" t="n"/>
      <c r="K9" s="56" t="n"/>
      <c r="L9" s="56">
        <f>IF(J9="","",J9+IF(K9="",0,K9))</f>
        <v/>
      </c>
      <c r="M9" s="57" t="n"/>
      <c r="N9" s="58" t="n"/>
      <c r="O9" s="59" t="inlineStr">
        <is>
          <t>Cartão MP</t>
        </is>
      </c>
      <c r="P9" s="60" t="n"/>
      <c r="Q9" s="60" t="n"/>
      <c r="R9" s="60">
        <f>IF(P9="","",P9-IF(Q9="",0,Q9))</f>
        <v/>
      </c>
      <c r="S9" s="60" t="n"/>
      <c r="T9" s="60">
        <f>IF(Q9="","",Q9+IF(S9="",0,S9))</f>
        <v/>
      </c>
      <c r="U9" s="61" t="n"/>
      <c r="V9" s="62" t="n"/>
    </row>
    <row r="10" ht="20" customHeight="1">
      <c r="A10" s="6" t="inlineStr"/>
      <c r="B10" s="37" t="n"/>
      <c r="C10" s="38" t="n"/>
      <c r="D10" s="39" t="n"/>
      <c r="E10" s="9" t="inlineStr">
        <is>
          <t>IRRF</t>
        </is>
      </c>
      <c r="F10" s="40" t="n"/>
      <c r="G10" s="41" t="n"/>
      <c r="H10" s="41" t="n"/>
      <c r="I10" s="15" t="inlineStr">
        <is>
          <t>CONTA TIM</t>
        </is>
      </c>
      <c r="J10" s="42" t="n"/>
      <c r="K10" s="42" t="n"/>
      <c r="L10" s="42">
        <f>IF(J10="","",J10+IF(K10="",0,K10))</f>
        <v/>
      </c>
      <c r="M10" s="43" t="n"/>
      <c r="N10" s="44" t="n"/>
      <c r="O10" s="18" t="inlineStr">
        <is>
          <t>PicPay Card</t>
        </is>
      </c>
      <c r="P10" s="45" t="n"/>
      <c r="Q10" s="45" t="n"/>
      <c r="R10" s="45">
        <f>IF(P10="","",P10-IF(Q10="",0,Q10))</f>
        <v/>
      </c>
      <c r="S10" s="45" t="n"/>
      <c r="T10" s="45">
        <f>IF(Q10="","",Q10+IF(S10="",0,S10))</f>
        <v/>
      </c>
      <c r="U10" s="46" t="n"/>
      <c r="V10" s="47" t="n"/>
    </row>
    <row r="11" ht="20" customHeight="1">
      <c r="A11" s="48" t="inlineStr"/>
      <c r="B11" s="49" t="n"/>
      <c r="C11" s="50" t="n"/>
      <c r="D11" s="51" t="n"/>
      <c r="E11" s="52" t="inlineStr">
        <is>
          <t>AUX.PRÉ.ESC</t>
        </is>
      </c>
      <c r="F11" s="53" t="n"/>
      <c r="G11" s="54" t="n"/>
      <c r="H11" s="54" t="n"/>
      <c r="I11" s="55" t="inlineStr">
        <is>
          <t>CONTA CLARO</t>
        </is>
      </c>
      <c r="J11" s="56" t="n"/>
      <c r="K11" s="56" t="n"/>
      <c r="L11" s="56">
        <f>IF(J11="","",J11+IF(K11="",0,K11))</f>
        <v/>
      </c>
      <c r="M11" s="57" t="n"/>
      <c r="N11" s="58" t="n"/>
      <c r="O11" s="59" t="inlineStr">
        <is>
          <t>Itaú Card</t>
        </is>
      </c>
      <c r="P11" s="60" t="n"/>
      <c r="Q11" s="60" t="n"/>
      <c r="R11" s="60">
        <f>IF(P11="","",P11-IF(Q11="",0,Q11))</f>
        <v/>
      </c>
      <c r="S11" s="60" t="n"/>
      <c r="T11" s="60">
        <f>IF(Q11="","",Q11+IF(S11="",0,S11))</f>
        <v/>
      </c>
      <c r="U11" s="61" t="n"/>
      <c r="V11" s="62" t="n"/>
    </row>
    <row r="12" ht="20" customHeight="1">
      <c r="A12" s="6" t="inlineStr"/>
      <c r="B12" s="37" t="n"/>
      <c r="C12" s="38" t="n"/>
      <c r="D12" s="39" t="n"/>
      <c r="E12" s="9" t="inlineStr">
        <is>
          <t>Dízimo</t>
        </is>
      </c>
      <c r="F12" s="40" t="n"/>
      <c r="G12" s="41" t="n"/>
      <c r="H12" s="41" t="n"/>
      <c r="I12" s="15" t="inlineStr">
        <is>
          <t>MAXÍDOMINI</t>
        </is>
      </c>
      <c r="J12" s="42" t="n"/>
      <c r="K12" s="42" t="n"/>
      <c r="L12" s="42">
        <f>IF(J12="","",J12+IF(K12="",0,K12))</f>
        <v/>
      </c>
      <c r="M12" s="43" t="n"/>
      <c r="N12" s="44" t="n"/>
      <c r="O12" s="18" t="inlineStr">
        <is>
          <t>CAIXA ELO</t>
        </is>
      </c>
      <c r="P12" s="45" t="n"/>
      <c r="Q12" s="45" t="n"/>
      <c r="R12" s="45">
        <f>IF(P12="","",P12-IF(Q12="",0,Q12))</f>
        <v/>
      </c>
      <c r="S12" s="45" t="n"/>
      <c r="T12" s="45">
        <f>IF(Q12="","",Q12+IF(S12="",0,S12))</f>
        <v/>
      </c>
      <c r="U12" s="46" t="n"/>
      <c r="V12" s="47" t="n"/>
    </row>
    <row r="13" ht="20" customHeight="1">
      <c r="A13" s="48" t="inlineStr"/>
      <c r="B13" s="49" t="n"/>
      <c r="C13" s="50" t="n"/>
      <c r="D13" s="51" t="n"/>
      <c r="E13" s="52" t="inlineStr"/>
      <c r="F13" s="53" t="n"/>
      <c r="G13" s="54" t="n"/>
      <c r="H13" s="54" t="n"/>
      <c r="I13" s="55" t="inlineStr">
        <is>
          <t>COSANPA/ÁGUA</t>
        </is>
      </c>
      <c r="J13" s="56" t="n"/>
      <c r="K13" s="56" t="n"/>
      <c r="L13" s="56">
        <f>IF(J13="","",J13+IF(K13="",0,K13))</f>
        <v/>
      </c>
      <c r="M13" s="57" t="n"/>
      <c r="N13" s="58" t="n"/>
      <c r="O13" s="59" t="inlineStr">
        <is>
          <t>Bradesco</t>
        </is>
      </c>
      <c r="P13" s="60" t="n"/>
      <c r="Q13" s="60" t="n"/>
      <c r="R13" s="60">
        <f>IF(P13="","",P13-IF(Q13="",0,Q13))</f>
        <v/>
      </c>
      <c r="S13" s="60" t="n"/>
      <c r="T13" s="60">
        <f>IF(Q13="","",Q13+IF(S13="",0,S13))</f>
        <v/>
      </c>
      <c r="U13" s="61" t="n"/>
      <c r="V13" s="62" t="n"/>
    </row>
    <row r="14" ht="20" customHeight="1">
      <c r="A14" s="6" t="inlineStr"/>
      <c r="B14" s="37" t="n"/>
      <c r="C14" s="38" t="n"/>
      <c r="D14" s="39" t="n"/>
      <c r="E14" s="9" t="inlineStr"/>
      <c r="F14" s="40" t="n"/>
      <c r="G14" s="41" t="n"/>
      <c r="H14" s="41" t="n"/>
      <c r="I14" s="15" t="inlineStr">
        <is>
          <t>ESCOLA SALMOM</t>
        </is>
      </c>
      <c r="J14" s="42" t="n"/>
      <c r="K14" s="42" t="n"/>
      <c r="L14" s="42">
        <f>IF(J14="","",J14+IF(K14="",0,K14))</f>
        <v/>
      </c>
      <c r="M14" s="43" t="n"/>
      <c r="N14" s="44" t="n"/>
      <c r="O14" s="18" t="inlineStr">
        <is>
          <t>RecargaPay</t>
        </is>
      </c>
      <c r="P14" s="45" t="n"/>
      <c r="Q14" s="45" t="n"/>
      <c r="R14" s="45">
        <f>IF(P14="","",P14-IF(Q14="",0,Q14))</f>
        <v/>
      </c>
      <c r="S14" s="45" t="n"/>
      <c r="T14" s="45">
        <f>IF(Q14="","",Q14+IF(S14="",0,S14))</f>
        <v/>
      </c>
      <c r="U14" s="46" t="n"/>
      <c r="V14" s="47" t="n"/>
    </row>
    <row r="15" ht="20" customHeight="1">
      <c r="A15" s="48" t="inlineStr"/>
      <c r="B15" s="49" t="n"/>
      <c r="C15" s="50" t="n"/>
      <c r="D15" s="51" t="n"/>
      <c r="E15" s="52" t="inlineStr"/>
      <c r="F15" s="53" t="n"/>
      <c r="G15" s="54" t="n"/>
      <c r="H15" s="54" t="n"/>
      <c r="I15" s="55" t="inlineStr">
        <is>
          <t>CORECON</t>
        </is>
      </c>
      <c r="J15" s="56" t="n"/>
      <c r="K15" s="56" t="n"/>
      <c r="L15" s="56">
        <f>IF(J15="","",J15+IF(K15="",0,K15))</f>
        <v/>
      </c>
      <c r="M15" s="57" t="n"/>
      <c r="N15" s="58" t="n"/>
      <c r="O15" s="59" t="inlineStr">
        <is>
          <t>BipaCard</t>
        </is>
      </c>
      <c r="P15" s="60" t="n"/>
      <c r="Q15" s="60" t="n"/>
      <c r="R15" s="60">
        <f>IF(P15="","",P15-IF(Q15="",0,Q15))</f>
        <v/>
      </c>
      <c r="S15" s="60" t="n"/>
      <c r="T15" s="60">
        <f>IF(Q15="","",Q15+IF(S15="",0,S15))</f>
        <v/>
      </c>
      <c r="U15" s="61" t="n"/>
      <c r="V15" s="62" t="n"/>
    </row>
    <row r="16" ht="20" customHeight="1">
      <c r="A16" s="6" t="inlineStr"/>
      <c r="B16" s="37" t="n"/>
      <c r="C16" s="38" t="n"/>
      <c r="D16" s="39" t="n"/>
      <c r="E16" s="9" t="inlineStr"/>
      <c r="F16" s="40" t="n"/>
      <c r="G16" s="41" t="n"/>
      <c r="H16" s="41" t="n"/>
      <c r="I16" s="15" t="inlineStr">
        <is>
          <t>Boticário</t>
        </is>
      </c>
      <c r="J16" s="42" t="n"/>
      <c r="K16" s="42" t="n"/>
      <c r="L16" s="42">
        <f>IF(J16="","",J16+IF(K16="",0,K16))</f>
        <v/>
      </c>
      <c r="M16" s="43" t="n"/>
      <c r="N16" s="44" t="n"/>
      <c r="O16" s="18" t="inlineStr">
        <is>
          <t>InfinitCard</t>
        </is>
      </c>
      <c r="P16" s="45" t="n"/>
      <c r="Q16" s="45" t="n"/>
      <c r="R16" s="45">
        <f>IF(P16="","",P16-IF(Q16="",0,Q16))</f>
        <v/>
      </c>
      <c r="S16" s="45" t="n"/>
      <c r="T16" s="45">
        <f>IF(Q16="","",Q16+IF(S16="",0,S16))</f>
        <v/>
      </c>
      <c r="U16" s="46" t="n"/>
      <c r="V16" s="47" t="n"/>
    </row>
    <row r="17" ht="20" customHeight="1">
      <c r="A17" s="48" t="inlineStr"/>
      <c r="B17" s="49" t="n"/>
      <c r="C17" s="50" t="n"/>
      <c r="D17" s="51" t="n"/>
      <c r="E17" s="52" t="inlineStr"/>
      <c r="F17" s="53" t="n"/>
      <c r="G17" s="54" t="n"/>
      <c r="H17" s="54" t="n"/>
      <c r="I17" s="55" t="inlineStr">
        <is>
          <t>Rodobens</t>
        </is>
      </c>
      <c r="J17" s="56" t="n"/>
      <c r="K17" s="56" t="n"/>
      <c r="L17" s="56">
        <f>IF(J17="","",J17+IF(K17="",0,K17))</f>
        <v/>
      </c>
      <c r="M17" s="57" t="n"/>
      <c r="N17" s="58" t="n"/>
      <c r="O17" s="59" t="inlineStr">
        <is>
          <t>Pagbank</t>
        </is>
      </c>
      <c r="P17" s="60" t="n"/>
      <c r="Q17" s="60" t="n"/>
      <c r="R17" s="60">
        <f>IF(P17="","",P17-IF(Q17="",0,Q17))</f>
        <v/>
      </c>
      <c r="S17" s="60" t="n"/>
      <c r="T17" s="60">
        <f>IF(Q17="","",Q17+IF(S17="",0,S17))</f>
        <v/>
      </c>
      <c r="U17" s="61" t="n"/>
      <c r="V17" s="62" t="n"/>
    </row>
    <row r="18" ht="20" customHeight="1">
      <c r="A18" s="6" t="inlineStr"/>
      <c r="B18" s="37" t="n"/>
      <c r="C18" s="38" t="n"/>
      <c r="D18" s="39" t="n"/>
      <c r="E18" s="9" t="inlineStr"/>
      <c r="F18" s="40" t="n"/>
      <c r="G18" s="41" t="n"/>
      <c r="H18" s="41" t="n"/>
      <c r="I18" s="15" t="inlineStr"/>
      <c r="J18" s="42" t="n"/>
      <c r="K18" s="42" t="n"/>
      <c r="L18" s="42">
        <f>IF(J18="","",J18+IF(K18="",0,K18))</f>
        <v/>
      </c>
      <c r="M18" s="43" t="n"/>
      <c r="N18" s="44" t="n"/>
      <c r="O18" s="18" t="inlineStr">
        <is>
          <t>TonCard</t>
        </is>
      </c>
      <c r="P18" s="45" t="n"/>
      <c r="Q18" s="45" t="n"/>
      <c r="R18" s="45">
        <f>IF(P18="","",P18-IF(Q18="",0,Q18))</f>
        <v/>
      </c>
      <c r="S18" s="45" t="n"/>
      <c r="T18" s="45">
        <f>IF(Q18="","",Q18+IF(S18="",0,S18))</f>
        <v/>
      </c>
      <c r="U18" s="46" t="n"/>
      <c r="V18" s="47" t="n"/>
    </row>
    <row r="19" ht="20" customHeight="1">
      <c r="A19" s="48" t="inlineStr"/>
      <c r="B19" s="49" t="n"/>
      <c r="C19" s="50" t="n"/>
      <c r="D19" s="51" t="n"/>
      <c r="E19" s="52" t="inlineStr"/>
      <c r="F19" s="53" t="n"/>
      <c r="G19" s="54" t="n"/>
      <c r="H19" s="54" t="n"/>
      <c r="I19" s="55" t="inlineStr"/>
      <c r="J19" s="56" t="n"/>
      <c r="K19" s="56" t="n"/>
      <c r="L19" s="56">
        <f>IF(J19="","",J19+IF(K19="",0,K19))</f>
        <v/>
      </c>
      <c r="M19" s="57" t="n"/>
      <c r="N19" s="58" t="n"/>
      <c r="O19" s="59" t="inlineStr"/>
      <c r="P19" s="60" t="n"/>
      <c r="Q19" s="60" t="n"/>
      <c r="R19" s="60">
        <f>IF(P19="","",P19-IF(Q19="",0,Q19))</f>
        <v/>
      </c>
      <c r="S19" s="60" t="n"/>
      <c r="T19" s="60">
        <f>IF(Q19="","",Q19+IF(S19="",0,S19))</f>
        <v/>
      </c>
      <c r="U19" s="61" t="n"/>
      <c r="V19" s="62" t="n"/>
    </row>
    <row r="20" ht="22" customHeight="1">
      <c r="A20" s="63" t="inlineStr">
        <is>
          <t>RECEITA TOTAL</t>
        </is>
      </c>
      <c r="B20" s="8">
        <f>SUM(B4:B19)</f>
        <v/>
      </c>
      <c r="C20" s="64" t="n"/>
      <c r="D20" s="64" t="n"/>
      <c r="E20" s="65" t="inlineStr">
        <is>
          <t>TOTAL DESCONTOS</t>
        </is>
      </c>
      <c r="F20" s="11">
        <f>SUM(F4:F19)</f>
        <v/>
      </c>
      <c r="G20" s="66" t="n"/>
      <c r="H20" s="66" t="n"/>
      <c r="I20" s="67" t="inlineStr">
        <is>
          <t>TOTAL FIXAS (CET)</t>
        </is>
      </c>
      <c r="J20" s="21">
        <f>SUM(J4:J19)</f>
        <v/>
      </c>
      <c r="K20" s="21">
        <f>SUM(K4:K19)</f>
        <v/>
      </c>
      <c r="L20" s="21">
        <f>SUM(L4:L19)</f>
        <v/>
      </c>
      <c r="M20" s="68" t="n"/>
      <c r="N20" s="68" t="n"/>
      <c r="O20" s="69" t="inlineStr">
        <is>
          <t>TOTAL CARTÕES</t>
        </is>
      </c>
      <c r="P20" s="70">
        <f>SUM(P4:P19)</f>
        <v/>
      </c>
      <c r="Q20" s="70">
        <f>SUM(Q4:Q19)</f>
        <v/>
      </c>
      <c r="R20" s="70">
        <f>SUM(R4:R19)</f>
        <v/>
      </c>
      <c r="S20" s="70">
        <f>SUM(S4:S19)</f>
        <v/>
      </c>
      <c r="T20" s="70">
        <f>SUM(T4:T19)</f>
        <v/>
      </c>
      <c r="U20" s="71" t="n"/>
      <c r="V20" s="71" t="n"/>
    </row>
    <row r="21">
      <c r="O21" s="72" t="inlineStr">
        <is>
          <t>¹ SALDO = Fatura − Pago  (valor não quitado = nova dívida do mês)</t>
        </is>
      </c>
    </row>
    <row r="22" ht="22" customHeight="1">
      <c r="A22" s="73" t="inlineStr">
        <is>
          <t>ASSINATURAS ONLINE</t>
        </is>
      </c>
      <c r="F22" s="73" t="inlineStr">
        <is>
          <t>NOTAS / EMPRÉSTIMOS / CONSIGNADOS</t>
        </is>
      </c>
    </row>
    <row r="23" ht="20" customHeight="1">
      <c r="A23" s="74" t="inlineStr">
        <is>
          <t>CARTÃO</t>
        </is>
      </c>
      <c r="B23" s="74" t="inlineStr">
        <is>
          <t>SERVIÇO</t>
        </is>
      </c>
      <c r="C23" s="74" t="inlineStr">
        <is>
          <t>VALOR</t>
        </is>
      </c>
      <c r="D23" s="74" t="inlineStr">
        <is>
          <t>DIA/SITUAÇÃO</t>
        </is>
      </c>
      <c r="F23" s="74" t="inlineStr">
        <is>
          <t>DESCRIÇÃO</t>
        </is>
      </c>
      <c r="G23" s="74" t="inlineStr">
        <is>
          <t>TAXA (am)</t>
        </is>
      </c>
      <c r="H23" s="74" t="inlineStr">
        <is>
          <t>TAXA (aa)</t>
        </is>
      </c>
      <c r="I23" s="74" t="inlineStr">
        <is>
          <t>OBS / SALDO</t>
        </is>
      </c>
    </row>
    <row r="24" ht="18" customHeight="1">
      <c r="A24" s="75" t="inlineStr">
        <is>
          <t>NU</t>
        </is>
      </c>
      <c r="B24" s="22" t="inlineStr">
        <is>
          <t>GDRIVE SABRI</t>
        </is>
      </c>
      <c r="C24" s="23" t="n">
        <v>49.9</v>
      </c>
      <c r="D24" s="22" t="inlineStr">
        <is>
          <t>DIA 04 — CRÉDITO (NU)</t>
        </is>
      </c>
      <c r="F24" s="22" t="inlineStr">
        <is>
          <t>Consignado Nubank 1</t>
        </is>
      </c>
      <c r="G24" s="75" t="inlineStr">
        <is>
          <t>1.30% am</t>
        </is>
      </c>
      <c r="H24" s="75" t="inlineStr">
        <is>
          <t>16.74% aa</t>
        </is>
      </c>
      <c r="I24" s="22" t="inlineStr">
        <is>
          <t>73x</t>
        </is>
      </c>
    </row>
    <row r="25" ht="18" customHeight="1">
      <c r="A25" s="76" t="inlineStr">
        <is>
          <t>NU</t>
        </is>
      </c>
      <c r="B25" s="77" t="inlineStr">
        <is>
          <t>CONTA TIM</t>
        </is>
      </c>
      <c r="C25" s="78" t="n">
        <v>42</v>
      </c>
      <c r="D25" s="77" t="inlineStr">
        <is>
          <t>DIA 15 — PG MANUAL</t>
        </is>
      </c>
      <c r="F25" s="77" t="inlineStr">
        <is>
          <t>Consignado Nubank 2</t>
        </is>
      </c>
      <c r="G25" s="76" t="inlineStr">
        <is>
          <t>1.57% am</t>
        </is>
      </c>
      <c r="H25" s="76" t="inlineStr">
        <is>
          <t>21.85% aa</t>
        </is>
      </c>
      <c r="I25" s="77" t="inlineStr">
        <is>
          <t>96x — saldo R$776,82</t>
        </is>
      </c>
    </row>
    <row r="26" ht="18" customHeight="1">
      <c r="A26" s="75" t="inlineStr">
        <is>
          <t>SANTANDER SX</t>
        </is>
      </c>
      <c r="B26" s="22" t="inlineStr">
        <is>
          <t>PLANO CLARO</t>
        </is>
      </c>
      <c r="C26" s="23" t="n">
        <v>73.73</v>
      </c>
      <c r="D26" s="22" t="inlineStr">
        <is>
          <t>DIA 09 — PG MANUAL</t>
        </is>
      </c>
      <c r="F26" s="22" t="inlineStr">
        <is>
          <t>Fin. Habitação CAIXA</t>
        </is>
      </c>
      <c r="G26" s="75" t="inlineStr">
        <is>
          <t>7% nominal</t>
        </is>
      </c>
      <c r="H26" s="75" t="inlineStr"/>
      <c r="I26" s="22" t="inlineStr"/>
    </row>
    <row r="27" ht="18" customHeight="1">
      <c r="A27" s="76" t="inlineStr">
        <is>
          <t>NU</t>
        </is>
      </c>
      <c r="B27" s="77" t="inlineStr">
        <is>
          <t>YOUTUBE ST</t>
        </is>
      </c>
      <c r="C27" s="78" t="n">
        <v>53.9</v>
      </c>
      <c r="D27" s="77" t="inlineStr">
        <is>
          <t>DIA 25 — CRÉDITO (NU)</t>
        </is>
      </c>
      <c r="F27" s="77" t="inlineStr">
        <is>
          <t>Empréstimo Sabrina</t>
        </is>
      </c>
      <c r="G27" s="76" t="inlineStr"/>
      <c r="H27" s="76" t="inlineStr"/>
      <c r="I27" s="77" t="inlineStr">
        <is>
          <t>saldo R$2.503,46</t>
        </is>
      </c>
    </row>
    <row r="28" ht="18" customHeight="1">
      <c r="A28" s="75" t="inlineStr">
        <is>
          <t>NU</t>
        </is>
      </c>
      <c r="B28" s="22" t="inlineStr">
        <is>
          <t>ICLOUD</t>
        </is>
      </c>
      <c r="C28" s="23" t="n">
        <v>5.9</v>
      </c>
      <c r="D28" s="22" t="inlineStr">
        <is>
          <t>DIA 01 — CRÉDITO (NU)</t>
        </is>
      </c>
      <c r="F28" s="22" t="inlineStr">
        <is>
          <t>Empréstimo Josy</t>
        </is>
      </c>
      <c r="G28" s="75" t="inlineStr"/>
      <c r="H28" s="75" t="inlineStr"/>
      <c r="I28" s="22" t="inlineStr"/>
    </row>
    <row r="29" ht="18" customHeight="1">
      <c r="A29" s="76" t="inlineStr"/>
      <c r="B29" s="77" t="inlineStr">
        <is>
          <t>Serasa</t>
        </is>
      </c>
      <c r="C29" s="78" t="n">
        <v>23.9</v>
      </c>
      <c r="D29" s="77" t="inlineStr">
        <is>
          <t xml:space="preserve">DIA 17 — </t>
        </is>
      </c>
      <c r="F29" s="77" t="inlineStr"/>
      <c r="G29" s="76" t="inlineStr"/>
      <c r="H29" s="76" t="inlineStr"/>
      <c r="I29" s="77" t="inlineStr"/>
    </row>
    <row r="30" ht="18" customHeight="1">
      <c r="A30" s="75" t="inlineStr"/>
      <c r="B30" s="22" t="inlineStr">
        <is>
          <t>Kindle</t>
        </is>
      </c>
      <c r="C30" s="23" t="n">
        <v>24</v>
      </c>
      <c r="D30" s="22" t="inlineStr"/>
      <c r="F30" s="22" t="inlineStr"/>
      <c r="G30" s="75" t="inlineStr"/>
      <c r="H30" s="75" t="inlineStr"/>
      <c r="I30" s="22" t="inlineStr"/>
    </row>
    <row r="31" ht="18" customHeight="1">
      <c r="A31" s="76" t="inlineStr">
        <is>
          <t>NU</t>
        </is>
      </c>
      <c r="B31" s="77" t="inlineStr">
        <is>
          <t>GPT</t>
        </is>
      </c>
      <c r="C31" s="78" t="n">
        <v>130</v>
      </c>
      <c r="D31" s="77" t="inlineStr">
        <is>
          <t>DIA 02 — CRÉDITO (NU)</t>
        </is>
      </c>
    </row>
    <row r="32" ht="18" customHeight="1">
      <c r="A32" s="75" t="inlineStr">
        <is>
          <t>NU</t>
        </is>
      </c>
      <c r="B32" s="22" t="inlineStr">
        <is>
          <t>Copilot</t>
        </is>
      </c>
      <c r="C32" s="23" t="n">
        <v>109.9</v>
      </c>
      <c r="D32" s="22" t="inlineStr">
        <is>
          <t>DIA 04 — CRÉDITO (NU)</t>
        </is>
      </c>
    </row>
    <row r="33" ht="18" customHeight="1">
      <c r="A33" s="76" t="inlineStr">
        <is>
          <t>NU</t>
        </is>
      </c>
      <c r="B33" s="77" t="inlineStr">
        <is>
          <t>WORD</t>
        </is>
      </c>
      <c r="C33" s="78" t="n">
        <v>0</v>
      </c>
      <c r="D33" s="77" t="inlineStr">
        <is>
          <t>Anual — CRÉDITO (NU)</t>
        </is>
      </c>
    </row>
    <row r="34" ht="18" customHeight="1">
      <c r="A34" s="75" t="inlineStr">
        <is>
          <t>NU</t>
        </is>
      </c>
      <c r="B34" s="22" t="inlineStr">
        <is>
          <t>GDRIVE EWE</t>
        </is>
      </c>
      <c r="C34" s="23" t="n">
        <v>0</v>
      </c>
      <c r="D34" s="22" t="inlineStr">
        <is>
          <t>Ago/26 — CRÉDITO (NU)</t>
        </is>
      </c>
    </row>
    <row r="35" ht="18" customHeight="1">
      <c r="A35" s="76" t="inlineStr"/>
      <c r="B35" s="77" t="inlineStr">
        <is>
          <t>PDFVIEW</t>
        </is>
      </c>
      <c r="C35" s="78" t="n">
        <v>0</v>
      </c>
      <c r="D35" s="77" t="inlineStr">
        <is>
          <t>CRÉDITO (NU)</t>
        </is>
      </c>
    </row>
    <row r="36" ht="20" customHeight="1">
      <c r="A36" s="79" t="inlineStr">
        <is>
          <t>TOTAL ASSINATURAS</t>
        </is>
      </c>
      <c r="C36" s="24">
        <f>SUM(C24:C35)</f>
        <v/>
      </c>
      <c r="D36" s="3" t="n"/>
    </row>
    <row r="38" ht="22" customHeight="1">
      <c r="A38" s="80" t="inlineStr">
        <is>
          <t>CHEQUE ESPECIAL / DÍVIDAS FINANCEIRAS</t>
        </is>
      </c>
    </row>
    <row r="39" ht="22" customHeight="1">
      <c r="A39" s="35" t="inlineStr">
        <is>
          <t>BANCO</t>
        </is>
      </c>
      <c r="B39" s="35" t="inlineStr">
        <is>
          <t>LIMITE</t>
        </is>
      </c>
      <c r="C39" s="35" t="inlineStr">
        <is>
          <t>USADO</t>
        </is>
      </c>
      <c r="D39" s="35" t="inlineStr">
        <is>
          <t>JUROS MÊS</t>
        </is>
      </c>
      <c r="E39" s="35" t="inlineStr">
        <is>
          <t>TAXA % aa</t>
        </is>
      </c>
      <c r="F39" s="35" t="inlineStr">
        <is>
          <t>DIAS</t>
        </is>
      </c>
      <c r="G39" s="35" t="inlineStr">
        <is>
          <t>SITUAÇÃO</t>
        </is>
      </c>
    </row>
    <row r="40" ht="19" customHeight="1">
      <c r="A40" s="15" t="inlineStr">
        <is>
          <t>BB</t>
        </is>
      </c>
      <c r="B40" s="16" t="n"/>
      <c r="C40" s="16" t="n"/>
      <c r="D40" s="16" t="n"/>
      <c r="E40" s="81" t="n"/>
      <c r="F40" s="81" t="n"/>
      <c r="G40" s="81" t="n"/>
    </row>
    <row r="41" ht="19" customHeight="1">
      <c r="A41" s="55" t="inlineStr">
        <is>
          <t>Santander</t>
        </is>
      </c>
      <c r="B41" s="82" t="n"/>
      <c r="C41" s="82" t="n"/>
      <c r="D41" s="82" t="n"/>
      <c r="E41" s="83" t="n"/>
      <c r="F41" s="83" t="n"/>
      <c r="G41" s="83" t="n"/>
    </row>
    <row r="42" ht="19" customHeight="1">
      <c r="A42" s="15" t="inlineStr">
        <is>
          <t>Caixa</t>
        </is>
      </c>
      <c r="B42" s="16" t="n"/>
      <c r="C42" s="16" t="n"/>
      <c r="D42" s="16" t="n"/>
      <c r="E42" s="81" t="n"/>
      <c r="F42" s="81" t="n"/>
      <c r="G42" s="81" t="n"/>
    </row>
    <row r="43" ht="19" customHeight="1">
      <c r="A43" s="55" t="inlineStr">
        <is>
          <t>Itaú</t>
        </is>
      </c>
      <c r="B43" s="82" t="n"/>
      <c r="C43" s="82" t="n"/>
      <c r="D43" s="82" t="n"/>
      <c r="E43" s="83" t="n"/>
      <c r="F43" s="83" t="n"/>
      <c r="G43" s="83" t="n"/>
    </row>
    <row r="44" ht="19" customHeight="1">
      <c r="A44" s="15" t="inlineStr">
        <is>
          <t>Bradesco</t>
        </is>
      </c>
      <c r="B44" s="16" t="n"/>
      <c r="C44" s="16" t="n"/>
      <c r="D44" s="16" t="n"/>
      <c r="E44" s="81" t="n"/>
      <c r="F44" s="81" t="n"/>
      <c r="G44" s="81" t="n"/>
    </row>
    <row r="45" ht="20" customHeight="1">
      <c r="A45" s="67" t="inlineStr">
        <is>
          <t>TOTAL CHEQUE ESPECIAL</t>
        </is>
      </c>
      <c r="C45" s="21">
        <f>SUM(C40:C44)</f>
        <v/>
      </c>
      <c r="D45" s="21">
        <f>SUM(D40:D44)</f>
        <v/>
      </c>
      <c r="E45" s="84" t="n"/>
      <c r="F45" s="84" t="n"/>
      <c r="G45" s="84" t="n"/>
    </row>
    <row r="47" ht="28" customHeight="1">
      <c r="A47" s="28" t="inlineStr">
        <is>
          <t xml:space="preserve">  ══  RESULTADO DO MÊS  ══</t>
        </is>
      </c>
    </row>
    <row r="48" ht="19" customHeight="1">
      <c r="A48" s="6" t="inlineStr">
        <is>
          <t>Receita Bruta</t>
        </is>
      </c>
      <c r="F48" s="7">
        <f>B20</f>
        <v/>
      </c>
    </row>
    <row r="49" ht="19" customHeight="1">
      <c r="A49" s="9" t="inlineStr">
        <is>
          <t>(−) Descontos em Folha</t>
        </is>
      </c>
      <c r="F49" s="10">
        <f>F20</f>
        <v/>
      </c>
    </row>
    <row r="50" ht="24" customHeight="1">
      <c r="A50" s="85">
        <f> Receita Líquida</f>
        <v/>
      </c>
      <c r="F50" s="14">
        <f>F48-F49</f>
        <v/>
      </c>
    </row>
    <row r="51" ht="19" customHeight="1">
      <c r="A51" s="15" t="inlineStr">
        <is>
          <t>(−) Despesas Fixas (CET)</t>
        </is>
      </c>
      <c r="F51" s="16">
        <f>L20</f>
        <v/>
      </c>
    </row>
    <row r="52" ht="19" customHeight="1">
      <c r="A52" s="18" t="inlineStr">
        <is>
          <t>(−) Cartões — Valor Pago</t>
        </is>
      </c>
      <c r="F52" s="19">
        <f>Q20</f>
        <v/>
      </c>
    </row>
    <row r="53" ht="19" customHeight="1">
      <c r="A53" s="18" t="inlineStr">
        <is>
          <t>(−) Juros dos Cartões</t>
        </is>
      </c>
      <c r="F53" s="19">
        <f>S20</f>
        <v/>
      </c>
    </row>
    <row r="54" ht="19" customHeight="1">
      <c r="A54" s="15" t="inlineStr">
        <is>
          <t>(−) Juros Cheque Especial</t>
        </is>
      </c>
      <c r="F54" s="16">
        <f>D45</f>
        <v/>
      </c>
    </row>
    <row r="55" ht="19" customHeight="1">
      <c r="A55" s="22" t="inlineStr">
        <is>
          <t>(−) Assinaturas Online</t>
        </is>
      </c>
      <c r="F55" s="23">
        <f>C36</f>
        <v/>
      </c>
    </row>
    <row r="56" ht="24" customHeight="1">
      <c r="A56" s="86">
        <f> SALDO REAL DO MÊS</f>
        <v/>
      </c>
      <c r="F56" s="27">
        <f>F50-F51-F52-F53-F54-F55</f>
        <v/>
      </c>
    </row>
    <row r="57" ht="19" customHeight="1">
      <c r="A57" s="15" t="inlineStr">
        <is>
          <t>⚠  Nova Dívida (cartões não pagos)</t>
        </is>
      </c>
      <c r="F57" s="16">
        <f>R20</f>
        <v/>
      </c>
    </row>
    <row r="59" ht="22" customHeight="1">
      <c r="A59" s="73" t="inlineStr">
        <is>
          <t>CONTAS E SALDOS</t>
        </is>
      </c>
    </row>
    <row r="60" ht="18" customHeight="1">
      <c r="A60" s="74" t="inlineStr">
        <is>
          <t>BANCO / CARTEIRA</t>
        </is>
      </c>
      <c r="B60" s="74" t="inlineStr">
        <is>
          <t>SALDO (R$)</t>
        </is>
      </c>
      <c r="C60" s="74" t="inlineStr">
        <is>
          <t>OBS</t>
        </is>
      </c>
    </row>
    <row r="61" ht="18" customHeight="1">
      <c r="A61" s="22" t="inlineStr">
        <is>
          <t>Saldo CC BB</t>
        </is>
      </c>
      <c r="B61" s="23" t="n"/>
      <c r="C61" s="87" t="n"/>
    </row>
    <row r="62" ht="18" customHeight="1">
      <c r="A62" s="77" t="inlineStr">
        <is>
          <t>Santander</t>
        </is>
      </c>
      <c r="B62" s="78" t="n"/>
      <c r="C62" s="88" t="n"/>
    </row>
    <row r="63" ht="18" customHeight="1">
      <c r="A63" s="22" t="inlineStr">
        <is>
          <t>Caixa</t>
        </is>
      </c>
      <c r="B63" s="23" t="n"/>
      <c r="C63" s="87" t="n"/>
    </row>
    <row r="64" ht="18" customHeight="1">
      <c r="A64" s="77" t="inlineStr">
        <is>
          <t>Bipa</t>
        </is>
      </c>
      <c r="B64" s="78" t="n"/>
      <c r="C64" s="88" t="n"/>
    </row>
    <row r="65" ht="18" customHeight="1">
      <c r="A65" s="22" t="inlineStr">
        <is>
          <t>Nubank</t>
        </is>
      </c>
      <c r="B65" s="23" t="n"/>
      <c r="C65" s="87" t="n"/>
    </row>
    <row r="66" ht="18" customHeight="1">
      <c r="A66" s="77" t="inlineStr">
        <is>
          <t>Itaú</t>
        </is>
      </c>
      <c r="B66" s="78" t="n"/>
      <c r="C66" s="88" t="n"/>
    </row>
    <row r="67" ht="18" customHeight="1">
      <c r="A67" s="22" t="inlineStr">
        <is>
          <t>MP</t>
        </is>
      </c>
      <c r="B67" s="23" t="n"/>
      <c r="C67" s="87" t="n"/>
    </row>
    <row r="68" ht="18" customHeight="1">
      <c r="A68" s="77" t="inlineStr">
        <is>
          <t>KuCoin</t>
        </is>
      </c>
      <c r="B68" s="78" t="n"/>
      <c r="C68" s="88" t="n"/>
    </row>
    <row r="69" ht="18" customHeight="1">
      <c r="A69" s="22" t="inlineStr">
        <is>
          <t>Ton</t>
        </is>
      </c>
      <c r="B69" s="23" t="n"/>
      <c r="C69" s="87" t="n"/>
    </row>
    <row r="70" ht="18" customHeight="1">
      <c r="A70" s="77" t="inlineStr">
        <is>
          <t>Picpay</t>
        </is>
      </c>
      <c r="B70" s="78" t="n"/>
      <c r="C70" s="88" t="n"/>
    </row>
    <row r="71" ht="18" customHeight="1">
      <c r="A71" s="22" t="inlineStr">
        <is>
          <t>Recargapay</t>
        </is>
      </c>
      <c r="B71" s="23" t="n"/>
      <c r="C71" s="87" t="n"/>
    </row>
    <row r="72" ht="18" customHeight="1">
      <c r="A72" s="77" t="inlineStr">
        <is>
          <t>Infinitepay</t>
        </is>
      </c>
      <c r="B72" s="78" t="n"/>
      <c r="C72" s="88" t="n"/>
    </row>
    <row r="73" ht="18" customHeight="1">
      <c r="A73" s="22" t="inlineStr">
        <is>
          <t>PagBank</t>
        </is>
      </c>
      <c r="B73" s="23" t="n"/>
      <c r="C73" s="87" t="n"/>
    </row>
    <row r="74" ht="18" customHeight="1">
      <c r="A74" s="77" t="inlineStr">
        <is>
          <t>C6 BANK</t>
        </is>
      </c>
      <c r="B74" s="78" t="n"/>
      <c r="C74" s="88" t="n"/>
    </row>
    <row r="75" ht="18" customHeight="1">
      <c r="A75" s="22" t="inlineStr">
        <is>
          <t>INTER</t>
        </is>
      </c>
      <c r="B75" s="23" t="n"/>
      <c r="C75" s="87" t="n"/>
    </row>
    <row r="76" ht="18" customHeight="1">
      <c r="A76" s="77" t="inlineStr">
        <is>
          <t>Bradesco</t>
        </is>
      </c>
      <c r="B76" s="78" t="n"/>
      <c r="C76" s="88" t="n"/>
    </row>
    <row r="77" ht="18" customHeight="1">
      <c r="A77" s="22" t="inlineStr">
        <is>
          <t>BTG</t>
        </is>
      </c>
      <c r="B77" s="23" t="n"/>
      <c r="C77" s="87" t="n"/>
    </row>
    <row r="78" ht="20" customHeight="1">
      <c r="A78" s="79" t="inlineStr">
        <is>
          <t>TOTAL EM CONTAS</t>
        </is>
      </c>
      <c r="B78" s="24">
        <f>SUM(B61:B77)</f>
        <v/>
      </c>
      <c r="C78" s="3" t="n"/>
    </row>
  </sheetData>
  <mergeCells count="23">
    <mergeCell ref="A48:E48"/>
    <mergeCell ref="A22:D22"/>
    <mergeCell ref="A45:B45"/>
    <mergeCell ref="A49:E49"/>
    <mergeCell ref="A51:E51"/>
    <mergeCell ref="A36:B36"/>
    <mergeCell ref="A38:G38"/>
    <mergeCell ref="A47:F47"/>
    <mergeCell ref="A54:E54"/>
    <mergeCell ref="A56:E56"/>
    <mergeCell ref="A55:E55"/>
    <mergeCell ref="A50:E50"/>
    <mergeCell ref="A57:E57"/>
    <mergeCell ref="A1:V1"/>
    <mergeCell ref="O21:V21"/>
    <mergeCell ref="A59:C59"/>
    <mergeCell ref="A53:E53"/>
    <mergeCell ref="I2:N2"/>
    <mergeCell ref="O2:V2"/>
    <mergeCell ref="A52:E52"/>
    <mergeCell ref="A2:D2"/>
    <mergeCell ref="E2:H2"/>
    <mergeCell ref="F22:I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3" customWidth="1" min="3" max="3"/>
    <col width="12" customWidth="1" min="4" max="4"/>
    <col width="24" customWidth="1" min="5" max="5"/>
    <col width="14" customWidth="1" min="6" max="6"/>
    <col width="13" customWidth="1" min="7" max="7"/>
    <col width="13" customWidth="1" min="8" max="8"/>
    <col width="24" customWidth="1" min="9" max="9"/>
    <col width="12" customWidth="1" min="10" max="10"/>
    <col width="9" customWidth="1" min="11" max="11"/>
    <col width="12" customWidth="1" min="12" max="12"/>
    <col width="13" customWidth="1" min="13" max="13"/>
    <col width="12" customWidth="1" min="14" max="14"/>
    <col width="16" customWidth="1" min="15" max="15"/>
    <col width="14" customWidth="1" min="16" max="16"/>
    <col width="14" customWidth="1" min="17" max="17"/>
    <col width="12" customWidth="1" min="18" max="18"/>
    <col width="9" customWidth="1" min="19" max="19"/>
    <col width="12" customWidth="1" min="20" max="20"/>
    <col width="13" customWidth="1" min="21" max="21"/>
    <col width="16" customWidth="1" min="22" max="22"/>
  </cols>
  <sheetData>
    <row r="1" ht="30" customHeight="1">
      <c r="A1" s="28" t="inlineStr">
        <is>
          <t>ORÇAMENTO  ABRIL  2026</t>
        </is>
      </c>
    </row>
    <row r="2" ht="22" customHeight="1">
      <c r="A2" s="29" t="inlineStr">
        <is>
          <t>▶  FONTES DE RECEITA</t>
        </is>
      </c>
      <c r="E2" s="30" t="inlineStr">
        <is>
          <t>▶  DESCONTOS EM FOLHA</t>
        </is>
      </c>
      <c r="I2" s="31" t="inlineStr">
        <is>
          <t>▶  DESPESAS FIXAS</t>
        </is>
      </c>
      <c r="O2" s="32" t="inlineStr">
        <is>
          <t>▶  DESPESAS COM CARTÕES</t>
        </is>
      </c>
    </row>
    <row r="3" ht="26" customHeight="1">
      <c r="A3" s="33" t="inlineStr">
        <is>
          <t>ORIGEM</t>
        </is>
      </c>
      <c r="B3" s="33" t="inlineStr">
        <is>
          <t>VALOR</t>
        </is>
      </c>
      <c r="C3" s="33" t="inlineStr">
        <is>
          <t>SITUAÇÃO</t>
        </is>
      </c>
      <c r="D3" s="33" t="inlineStr">
        <is>
          <t>DATA PG</t>
        </is>
      </c>
      <c r="E3" s="34" t="inlineStr">
        <is>
          <t>ORIGEM</t>
        </is>
      </c>
      <c r="F3" s="34" t="inlineStr">
        <is>
          <t>VALOR</t>
        </is>
      </c>
      <c r="G3" s="34" t="inlineStr">
        <is>
          <t>INFO</t>
        </is>
      </c>
      <c r="H3" s="34" t="inlineStr">
        <is>
          <t>OBS</t>
        </is>
      </c>
      <c r="I3" s="35" t="inlineStr">
        <is>
          <t>ORIGEM</t>
        </is>
      </c>
      <c r="J3" s="35" t="inlineStr">
        <is>
          <t>VALOR</t>
        </is>
      </c>
      <c r="K3" s="35" t="inlineStr">
        <is>
          <t>JUROS</t>
        </is>
      </c>
      <c r="L3" s="35" t="inlineStr">
        <is>
          <t>CET</t>
        </is>
      </c>
      <c r="M3" s="35" t="inlineStr">
        <is>
          <t>SITUAÇÃO</t>
        </is>
      </c>
      <c r="N3" s="35" t="inlineStr">
        <is>
          <t>DATA PG</t>
        </is>
      </c>
      <c r="O3" s="36" t="inlineStr">
        <is>
          <t>CARTÃO</t>
        </is>
      </c>
      <c r="P3" s="36" t="inlineStr">
        <is>
          <t>FATURA</t>
        </is>
      </c>
      <c r="Q3" s="36" t="inlineStr">
        <is>
          <t>PAGO</t>
        </is>
      </c>
      <c r="R3" s="36" t="inlineStr">
        <is>
          <t>SALDO¹</t>
        </is>
      </c>
      <c r="S3" s="36" t="inlineStr">
        <is>
          <t>JUROS</t>
        </is>
      </c>
      <c r="T3" s="36" t="inlineStr">
        <is>
          <t>CET</t>
        </is>
      </c>
      <c r="U3" s="36" t="inlineStr">
        <is>
          <t>SITUAÇÃO</t>
        </is>
      </c>
      <c r="V3" s="36" t="inlineStr">
        <is>
          <t>DATA PG</t>
        </is>
      </c>
    </row>
    <row r="4" ht="20" customHeight="1">
      <c r="A4" s="6" t="inlineStr">
        <is>
          <t>SALÁRIO</t>
        </is>
      </c>
      <c r="B4" s="37" t="n"/>
      <c r="C4" s="38" t="n"/>
      <c r="D4" s="39" t="n"/>
      <c r="E4" s="9" t="inlineStr">
        <is>
          <t>Consignado V.Nbk</t>
        </is>
      </c>
      <c r="F4" s="40" t="n"/>
      <c r="G4" s="41" t="n"/>
      <c r="H4" s="41" t="n"/>
      <c r="I4" s="15" t="inlineStr">
        <is>
          <t>HAPVIDA/SALMINHO</t>
        </is>
      </c>
      <c r="J4" s="42" t="n"/>
      <c r="K4" s="42" t="n"/>
      <c r="L4" s="42">
        <f>IF(J4="","",J4+IF(K4="",0,K4))</f>
        <v/>
      </c>
      <c r="M4" s="43" t="n"/>
      <c r="N4" s="44" t="n"/>
      <c r="O4" s="18" t="inlineStr">
        <is>
          <t>BB</t>
        </is>
      </c>
      <c r="P4" s="45" t="n"/>
      <c r="Q4" s="45" t="n"/>
      <c r="R4" s="45">
        <f>IF(P4="","",P4-IF(Q4="",0,Q4))</f>
        <v/>
      </c>
      <c r="S4" s="45" t="n"/>
      <c r="T4" s="45">
        <f>IF(Q4="","",Q4+IF(S4="",0,S4))</f>
        <v/>
      </c>
      <c r="U4" s="46" t="n"/>
      <c r="V4" s="47" t="n"/>
    </row>
    <row r="5" ht="20" customHeight="1">
      <c r="A5" s="48" t="inlineStr">
        <is>
          <t>Kalena OF/NET</t>
        </is>
      </c>
      <c r="B5" s="49" t="n"/>
      <c r="C5" s="50" t="n"/>
      <c r="D5" s="51" t="n"/>
      <c r="E5" s="52" t="inlineStr">
        <is>
          <t>Caixa Habitação</t>
        </is>
      </c>
      <c r="F5" s="53" t="n"/>
      <c r="G5" s="54" t="n"/>
      <c r="H5" s="54" t="n"/>
      <c r="I5" s="55" t="inlineStr">
        <is>
          <t>HAPVIDA/SABRINA</t>
        </is>
      </c>
      <c r="J5" s="56" t="n"/>
      <c r="K5" s="56" t="n"/>
      <c r="L5" s="56">
        <f>IF(J5="","",J5+IF(K5="",0,K5))</f>
        <v/>
      </c>
      <c r="M5" s="57" t="n"/>
      <c r="N5" s="58" t="n"/>
      <c r="O5" s="59" t="inlineStr">
        <is>
          <t>NU</t>
        </is>
      </c>
      <c r="P5" s="60" t="n"/>
      <c r="Q5" s="60" t="n"/>
      <c r="R5" s="60">
        <f>IF(P5="","",P5-IF(Q5="",0,Q5))</f>
        <v/>
      </c>
      <c r="S5" s="60" t="n"/>
      <c r="T5" s="60">
        <f>IF(Q5="","",Q5+IF(S5="",0,S5))</f>
        <v/>
      </c>
      <c r="U5" s="61" t="n"/>
      <c r="V5" s="62" t="n"/>
    </row>
    <row r="6" ht="20" customHeight="1">
      <c r="A6" s="6" t="inlineStr">
        <is>
          <t>ALUGUÉL</t>
        </is>
      </c>
      <c r="B6" s="37" t="n"/>
      <c r="C6" s="38" t="n"/>
      <c r="D6" s="39" t="n"/>
      <c r="E6" s="9" t="inlineStr">
        <is>
          <t>Consignado BB</t>
        </is>
      </c>
      <c r="F6" s="40" t="n"/>
      <c r="G6" s="41" t="n"/>
      <c r="H6" s="41" t="n"/>
      <c r="I6" s="15" t="inlineStr">
        <is>
          <t>HAP EWE E EFRA</t>
        </is>
      </c>
      <c r="J6" s="42" t="n"/>
      <c r="K6" s="42" t="n"/>
      <c r="L6" s="42">
        <f>IF(J6="","",J6+IF(K6="",0,K6))</f>
        <v/>
      </c>
      <c r="M6" s="43" t="n"/>
      <c r="N6" s="44" t="n"/>
      <c r="O6" s="18" t="inlineStr">
        <is>
          <t>Santander SX</t>
        </is>
      </c>
      <c r="P6" s="45" t="n"/>
      <c r="Q6" s="45" t="n"/>
      <c r="R6" s="45">
        <f>IF(P6="","",P6-IF(Q6="",0,Q6))</f>
        <v/>
      </c>
      <c r="S6" s="45" t="n"/>
      <c r="T6" s="45">
        <f>IF(Q6="","",Q6+IF(S6="",0,S6))</f>
        <v/>
      </c>
      <c r="U6" s="46" t="n"/>
      <c r="V6" s="47" t="n"/>
    </row>
    <row r="7" ht="20" customHeight="1">
      <c r="A7" s="48" t="inlineStr">
        <is>
          <t>Wagner</t>
        </is>
      </c>
      <c r="B7" s="49" t="n"/>
      <c r="C7" s="50" t="n"/>
      <c r="D7" s="51" t="n"/>
      <c r="E7" s="52" t="inlineStr">
        <is>
          <t>Emp.Sal.BB</t>
        </is>
      </c>
      <c r="F7" s="53" t="n"/>
      <c r="G7" s="54" t="n"/>
      <c r="H7" s="54" t="n"/>
      <c r="I7" s="55" t="inlineStr">
        <is>
          <t>CELPA ENERGIA</t>
        </is>
      </c>
      <c r="J7" s="56" t="n"/>
      <c r="K7" s="56" t="n"/>
      <c r="L7" s="56">
        <f>IF(J7="","",J7+IF(K7="",0,K7))</f>
        <v/>
      </c>
      <c r="M7" s="57" t="n"/>
      <c r="N7" s="58" t="n"/>
      <c r="O7" s="59" t="inlineStr">
        <is>
          <t>SELITE</t>
        </is>
      </c>
      <c r="P7" s="60" t="n"/>
      <c r="Q7" s="60" t="n"/>
      <c r="R7" s="60">
        <f>IF(P7="","",P7-IF(Q7="",0,Q7))</f>
        <v/>
      </c>
      <c r="S7" s="60" t="n"/>
      <c r="T7" s="60">
        <f>IF(Q7="","",Q7+IF(S7="",0,S7))</f>
        <v/>
      </c>
      <c r="U7" s="61" t="n"/>
      <c r="V7" s="62" t="n"/>
    </row>
    <row r="8" ht="20" customHeight="1">
      <c r="A8" s="6" t="inlineStr">
        <is>
          <t>Neto</t>
        </is>
      </c>
      <c r="B8" s="37" t="n"/>
      <c r="C8" s="38" t="n"/>
      <c r="D8" s="39" t="n"/>
      <c r="E8" s="9" t="inlineStr">
        <is>
          <t>AUX.TRANSP</t>
        </is>
      </c>
      <c r="F8" s="40" t="n"/>
      <c r="G8" s="41" t="n"/>
      <c r="H8" s="41" t="n"/>
      <c r="I8" s="15" t="inlineStr">
        <is>
          <t>SEATELECOM</t>
        </is>
      </c>
      <c r="J8" s="42" t="n"/>
      <c r="K8" s="42" t="n"/>
      <c r="L8" s="42">
        <f>IF(J8="","",J8+IF(K8="",0,K8))</f>
        <v/>
      </c>
      <c r="M8" s="43" t="n"/>
      <c r="N8" s="44" t="n"/>
      <c r="O8" s="18" t="inlineStr">
        <is>
          <t>Caixa Gold</t>
        </is>
      </c>
      <c r="P8" s="45" t="n"/>
      <c r="Q8" s="45" t="n"/>
      <c r="R8" s="45">
        <f>IF(P8="","",P8-IF(Q8="",0,Q8))</f>
        <v/>
      </c>
      <c r="S8" s="45" t="n"/>
      <c r="T8" s="45">
        <f>IF(Q8="","",Q8+IF(S8="",0,S8))</f>
        <v/>
      </c>
      <c r="U8" s="46" t="n"/>
      <c r="V8" s="47" t="n"/>
    </row>
    <row r="9" ht="20" customHeight="1">
      <c r="A9" s="48" t="inlineStr">
        <is>
          <t>UAB</t>
        </is>
      </c>
      <c r="B9" s="49" t="n"/>
      <c r="C9" s="50" t="n"/>
      <c r="D9" s="51" t="n"/>
      <c r="E9" s="52" t="inlineStr">
        <is>
          <t>CONTRI.SOCIAL</t>
        </is>
      </c>
      <c r="F9" s="53" t="n"/>
      <c r="G9" s="54" t="n"/>
      <c r="H9" s="54" t="n"/>
      <c r="I9" s="55" t="inlineStr">
        <is>
          <t>TX.ÁLAMO</t>
        </is>
      </c>
      <c r="J9" s="56" t="n"/>
      <c r="K9" s="56" t="n"/>
      <c r="L9" s="56">
        <f>IF(J9="","",J9+IF(K9="",0,K9))</f>
        <v/>
      </c>
      <c r="M9" s="57" t="n"/>
      <c r="N9" s="58" t="n"/>
      <c r="O9" s="59" t="inlineStr">
        <is>
          <t>Cartão MP</t>
        </is>
      </c>
      <c r="P9" s="60" t="n"/>
      <c r="Q9" s="60" t="n"/>
      <c r="R9" s="60">
        <f>IF(P9="","",P9-IF(Q9="",0,Q9))</f>
        <v/>
      </c>
      <c r="S9" s="60" t="n"/>
      <c r="T9" s="60">
        <f>IF(Q9="","",Q9+IF(S9="",0,S9))</f>
        <v/>
      </c>
      <c r="U9" s="61" t="n"/>
      <c r="V9" s="62" t="n"/>
    </row>
    <row r="10" ht="20" customHeight="1">
      <c r="A10" s="6" t="inlineStr"/>
      <c r="B10" s="37" t="n"/>
      <c r="C10" s="38" t="n"/>
      <c r="D10" s="39" t="n"/>
      <c r="E10" s="9" t="inlineStr">
        <is>
          <t>IRRF</t>
        </is>
      </c>
      <c r="F10" s="40" t="n"/>
      <c r="G10" s="41" t="n"/>
      <c r="H10" s="41" t="n"/>
      <c r="I10" s="15" t="inlineStr">
        <is>
          <t>CONTA TIM</t>
        </is>
      </c>
      <c r="J10" s="42" t="n"/>
      <c r="K10" s="42" t="n"/>
      <c r="L10" s="42">
        <f>IF(J10="","",J10+IF(K10="",0,K10))</f>
        <v/>
      </c>
      <c r="M10" s="43" t="n"/>
      <c r="N10" s="44" t="n"/>
      <c r="O10" s="18" t="inlineStr">
        <is>
          <t>PicPay Card</t>
        </is>
      </c>
      <c r="P10" s="45" t="n"/>
      <c r="Q10" s="45" t="n"/>
      <c r="R10" s="45">
        <f>IF(P10="","",P10-IF(Q10="",0,Q10))</f>
        <v/>
      </c>
      <c r="S10" s="45" t="n"/>
      <c r="T10" s="45">
        <f>IF(Q10="","",Q10+IF(S10="",0,S10))</f>
        <v/>
      </c>
      <c r="U10" s="46" t="n"/>
      <c r="V10" s="47" t="n"/>
    </row>
    <row r="11" ht="20" customHeight="1">
      <c r="A11" s="48" t="inlineStr"/>
      <c r="B11" s="49" t="n"/>
      <c r="C11" s="50" t="n"/>
      <c r="D11" s="51" t="n"/>
      <c r="E11" s="52" t="inlineStr">
        <is>
          <t>AUX.PRÉ.ESC</t>
        </is>
      </c>
      <c r="F11" s="53" t="n"/>
      <c r="G11" s="54" t="n"/>
      <c r="H11" s="54" t="n"/>
      <c r="I11" s="55" t="inlineStr">
        <is>
          <t>CONTA CLARO</t>
        </is>
      </c>
      <c r="J11" s="56" t="n"/>
      <c r="K11" s="56" t="n"/>
      <c r="L11" s="56">
        <f>IF(J11="","",J11+IF(K11="",0,K11))</f>
        <v/>
      </c>
      <c r="M11" s="57" t="n"/>
      <c r="N11" s="58" t="n"/>
      <c r="O11" s="59" t="inlineStr">
        <is>
          <t>Itaú Card</t>
        </is>
      </c>
      <c r="P11" s="60" t="n"/>
      <c r="Q11" s="60" t="n"/>
      <c r="R11" s="60">
        <f>IF(P11="","",P11-IF(Q11="",0,Q11))</f>
        <v/>
      </c>
      <c r="S11" s="60" t="n"/>
      <c r="T11" s="60">
        <f>IF(Q11="","",Q11+IF(S11="",0,S11))</f>
        <v/>
      </c>
      <c r="U11" s="61" t="n"/>
      <c r="V11" s="62" t="n"/>
    </row>
    <row r="12" ht="20" customHeight="1">
      <c r="A12" s="6" t="inlineStr"/>
      <c r="B12" s="37" t="n"/>
      <c r="C12" s="38" t="n"/>
      <c r="D12" s="39" t="n"/>
      <c r="E12" s="9" t="inlineStr">
        <is>
          <t>Dízimo</t>
        </is>
      </c>
      <c r="F12" s="40" t="n"/>
      <c r="G12" s="41" t="n"/>
      <c r="H12" s="41" t="n"/>
      <c r="I12" s="15" t="inlineStr">
        <is>
          <t>MAXÍDOMINI</t>
        </is>
      </c>
      <c r="J12" s="42" t="n"/>
      <c r="K12" s="42" t="n"/>
      <c r="L12" s="42">
        <f>IF(J12="","",J12+IF(K12="",0,K12))</f>
        <v/>
      </c>
      <c r="M12" s="43" t="n"/>
      <c r="N12" s="44" t="n"/>
      <c r="O12" s="18" t="inlineStr">
        <is>
          <t>CAIXA ELO</t>
        </is>
      </c>
      <c r="P12" s="45" t="n"/>
      <c r="Q12" s="45" t="n"/>
      <c r="R12" s="45">
        <f>IF(P12="","",P12-IF(Q12="",0,Q12))</f>
        <v/>
      </c>
      <c r="S12" s="45" t="n"/>
      <c r="T12" s="45">
        <f>IF(Q12="","",Q12+IF(S12="",0,S12))</f>
        <v/>
      </c>
      <c r="U12" s="46" t="n"/>
      <c r="V12" s="47" t="n"/>
    </row>
    <row r="13" ht="20" customHeight="1">
      <c r="A13" s="48" t="inlineStr"/>
      <c r="B13" s="49" t="n"/>
      <c r="C13" s="50" t="n"/>
      <c r="D13" s="51" t="n"/>
      <c r="E13" s="52" t="inlineStr"/>
      <c r="F13" s="53" t="n"/>
      <c r="G13" s="54" t="n"/>
      <c r="H13" s="54" t="n"/>
      <c r="I13" s="55" t="inlineStr">
        <is>
          <t>COSANPA/ÁGUA</t>
        </is>
      </c>
      <c r="J13" s="56" t="n"/>
      <c r="K13" s="56" t="n"/>
      <c r="L13" s="56">
        <f>IF(J13="","",J13+IF(K13="",0,K13))</f>
        <v/>
      </c>
      <c r="M13" s="57" t="n"/>
      <c r="N13" s="58" t="n"/>
      <c r="O13" s="59" t="inlineStr">
        <is>
          <t>Bradesco</t>
        </is>
      </c>
      <c r="P13" s="60" t="n"/>
      <c r="Q13" s="60" t="n"/>
      <c r="R13" s="60">
        <f>IF(P13="","",P13-IF(Q13="",0,Q13))</f>
        <v/>
      </c>
      <c r="S13" s="60" t="n"/>
      <c r="T13" s="60">
        <f>IF(Q13="","",Q13+IF(S13="",0,S13))</f>
        <v/>
      </c>
      <c r="U13" s="61" t="n"/>
      <c r="V13" s="62" t="n"/>
    </row>
    <row r="14" ht="20" customHeight="1">
      <c r="A14" s="6" t="inlineStr"/>
      <c r="B14" s="37" t="n"/>
      <c r="C14" s="38" t="n"/>
      <c r="D14" s="39" t="n"/>
      <c r="E14" s="9" t="inlineStr"/>
      <c r="F14" s="40" t="n"/>
      <c r="G14" s="41" t="n"/>
      <c r="H14" s="41" t="n"/>
      <c r="I14" s="15" t="inlineStr">
        <is>
          <t>ESCOLA SALMOM</t>
        </is>
      </c>
      <c r="J14" s="42" t="n"/>
      <c r="K14" s="42" t="n"/>
      <c r="L14" s="42">
        <f>IF(J14="","",J14+IF(K14="",0,K14))</f>
        <v/>
      </c>
      <c r="M14" s="43" t="n"/>
      <c r="N14" s="44" t="n"/>
      <c r="O14" s="18" t="inlineStr">
        <is>
          <t>RecargaPay</t>
        </is>
      </c>
      <c r="P14" s="45" t="n"/>
      <c r="Q14" s="45" t="n"/>
      <c r="R14" s="45">
        <f>IF(P14="","",P14-IF(Q14="",0,Q14))</f>
        <v/>
      </c>
      <c r="S14" s="45" t="n"/>
      <c r="T14" s="45">
        <f>IF(Q14="","",Q14+IF(S14="",0,S14))</f>
        <v/>
      </c>
      <c r="U14" s="46" t="n"/>
      <c r="V14" s="47" t="n"/>
    </row>
    <row r="15" ht="20" customHeight="1">
      <c r="A15" s="48" t="inlineStr"/>
      <c r="B15" s="49" t="n"/>
      <c r="C15" s="50" t="n"/>
      <c r="D15" s="51" t="n"/>
      <c r="E15" s="52" t="inlineStr"/>
      <c r="F15" s="53" t="n"/>
      <c r="G15" s="54" t="n"/>
      <c r="H15" s="54" t="n"/>
      <c r="I15" s="55" t="inlineStr">
        <is>
          <t>CORECON</t>
        </is>
      </c>
      <c r="J15" s="56" t="n"/>
      <c r="K15" s="56" t="n"/>
      <c r="L15" s="56">
        <f>IF(J15="","",J15+IF(K15="",0,K15))</f>
        <v/>
      </c>
      <c r="M15" s="57" t="n"/>
      <c r="N15" s="58" t="n"/>
      <c r="O15" s="59" t="inlineStr">
        <is>
          <t>BipaCard</t>
        </is>
      </c>
      <c r="P15" s="60" t="n"/>
      <c r="Q15" s="60" t="n"/>
      <c r="R15" s="60">
        <f>IF(P15="","",P15-IF(Q15="",0,Q15))</f>
        <v/>
      </c>
      <c r="S15" s="60" t="n"/>
      <c r="T15" s="60">
        <f>IF(Q15="","",Q15+IF(S15="",0,S15))</f>
        <v/>
      </c>
      <c r="U15" s="61" t="n"/>
      <c r="V15" s="62" t="n"/>
    </row>
    <row r="16" ht="20" customHeight="1">
      <c r="A16" s="6" t="inlineStr"/>
      <c r="B16" s="37" t="n"/>
      <c r="C16" s="38" t="n"/>
      <c r="D16" s="39" t="n"/>
      <c r="E16" s="9" t="inlineStr"/>
      <c r="F16" s="40" t="n"/>
      <c r="G16" s="41" t="n"/>
      <c r="H16" s="41" t="n"/>
      <c r="I16" s="15" t="inlineStr">
        <is>
          <t>Boticário</t>
        </is>
      </c>
      <c r="J16" s="42" t="n"/>
      <c r="K16" s="42" t="n"/>
      <c r="L16" s="42">
        <f>IF(J16="","",J16+IF(K16="",0,K16))</f>
        <v/>
      </c>
      <c r="M16" s="43" t="n"/>
      <c r="N16" s="44" t="n"/>
      <c r="O16" s="18" t="inlineStr">
        <is>
          <t>InfinitCard</t>
        </is>
      </c>
      <c r="P16" s="45" t="n"/>
      <c r="Q16" s="45" t="n"/>
      <c r="R16" s="45">
        <f>IF(P16="","",P16-IF(Q16="",0,Q16))</f>
        <v/>
      </c>
      <c r="S16" s="45" t="n"/>
      <c r="T16" s="45">
        <f>IF(Q16="","",Q16+IF(S16="",0,S16))</f>
        <v/>
      </c>
      <c r="U16" s="46" t="n"/>
      <c r="V16" s="47" t="n"/>
    </row>
    <row r="17" ht="20" customHeight="1">
      <c r="A17" s="48" t="inlineStr"/>
      <c r="B17" s="49" t="n"/>
      <c r="C17" s="50" t="n"/>
      <c r="D17" s="51" t="n"/>
      <c r="E17" s="52" t="inlineStr"/>
      <c r="F17" s="53" t="n"/>
      <c r="G17" s="54" t="n"/>
      <c r="H17" s="54" t="n"/>
      <c r="I17" s="55" t="inlineStr">
        <is>
          <t>Rodobens</t>
        </is>
      </c>
      <c r="J17" s="56" t="n"/>
      <c r="K17" s="56" t="n"/>
      <c r="L17" s="56">
        <f>IF(J17="","",J17+IF(K17="",0,K17))</f>
        <v/>
      </c>
      <c r="M17" s="57" t="n"/>
      <c r="N17" s="58" t="n"/>
      <c r="O17" s="59" t="inlineStr">
        <is>
          <t>Pagbank</t>
        </is>
      </c>
      <c r="P17" s="60" t="n"/>
      <c r="Q17" s="60" t="n"/>
      <c r="R17" s="60">
        <f>IF(P17="","",P17-IF(Q17="",0,Q17))</f>
        <v/>
      </c>
      <c r="S17" s="60" t="n"/>
      <c r="T17" s="60">
        <f>IF(Q17="","",Q17+IF(S17="",0,S17))</f>
        <v/>
      </c>
      <c r="U17" s="61" t="n"/>
      <c r="V17" s="62" t="n"/>
    </row>
    <row r="18" ht="20" customHeight="1">
      <c r="A18" s="6" t="inlineStr"/>
      <c r="B18" s="37" t="n"/>
      <c r="C18" s="38" t="n"/>
      <c r="D18" s="39" t="n"/>
      <c r="E18" s="9" t="inlineStr"/>
      <c r="F18" s="40" t="n"/>
      <c r="G18" s="41" t="n"/>
      <c r="H18" s="41" t="n"/>
      <c r="I18" s="15" t="inlineStr"/>
      <c r="J18" s="42" t="n"/>
      <c r="K18" s="42" t="n"/>
      <c r="L18" s="42">
        <f>IF(J18="","",J18+IF(K18="",0,K18))</f>
        <v/>
      </c>
      <c r="M18" s="43" t="n"/>
      <c r="N18" s="44" t="n"/>
      <c r="O18" s="18" t="inlineStr">
        <is>
          <t>TonCard</t>
        </is>
      </c>
      <c r="P18" s="45" t="n"/>
      <c r="Q18" s="45" t="n"/>
      <c r="R18" s="45">
        <f>IF(P18="","",P18-IF(Q18="",0,Q18))</f>
        <v/>
      </c>
      <c r="S18" s="45" t="n"/>
      <c r="T18" s="45">
        <f>IF(Q18="","",Q18+IF(S18="",0,S18))</f>
        <v/>
      </c>
      <c r="U18" s="46" t="n"/>
      <c r="V18" s="47" t="n"/>
    </row>
    <row r="19" ht="20" customHeight="1">
      <c r="A19" s="48" t="inlineStr"/>
      <c r="B19" s="49" t="n"/>
      <c r="C19" s="50" t="n"/>
      <c r="D19" s="51" t="n"/>
      <c r="E19" s="52" t="inlineStr"/>
      <c r="F19" s="53" t="n"/>
      <c r="G19" s="54" t="n"/>
      <c r="H19" s="54" t="n"/>
      <c r="I19" s="55" t="inlineStr"/>
      <c r="J19" s="56" t="n"/>
      <c r="K19" s="56" t="n"/>
      <c r="L19" s="56">
        <f>IF(J19="","",J19+IF(K19="",0,K19))</f>
        <v/>
      </c>
      <c r="M19" s="57" t="n"/>
      <c r="N19" s="58" t="n"/>
      <c r="O19" s="59" t="inlineStr"/>
      <c r="P19" s="60" t="n"/>
      <c r="Q19" s="60" t="n"/>
      <c r="R19" s="60">
        <f>IF(P19="","",P19-IF(Q19="",0,Q19))</f>
        <v/>
      </c>
      <c r="S19" s="60" t="n"/>
      <c r="T19" s="60">
        <f>IF(Q19="","",Q19+IF(S19="",0,S19))</f>
        <v/>
      </c>
      <c r="U19" s="61" t="n"/>
      <c r="V19" s="62" t="n"/>
    </row>
    <row r="20" ht="22" customHeight="1">
      <c r="A20" s="63" t="inlineStr">
        <is>
          <t>RECEITA TOTAL</t>
        </is>
      </c>
      <c r="B20" s="8">
        <f>SUM(B4:B19)</f>
        <v/>
      </c>
      <c r="C20" s="64" t="n"/>
      <c r="D20" s="64" t="n"/>
      <c r="E20" s="65" t="inlineStr">
        <is>
          <t>TOTAL DESCONTOS</t>
        </is>
      </c>
      <c r="F20" s="11">
        <f>SUM(F4:F19)</f>
        <v/>
      </c>
      <c r="G20" s="66" t="n"/>
      <c r="H20" s="66" t="n"/>
      <c r="I20" s="67" t="inlineStr">
        <is>
          <t>TOTAL FIXAS (CET)</t>
        </is>
      </c>
      <c r="J20" s="21">
        <f>SUM(J4:J19)</f>
        <v/>
      </c>
      <c r="K20" s="21">
        <f>SUM(K4:K19)</f>
        <v/>
      </c>
      <c r="L20" s="21">
        <f>SUM(L4:L19)</f>
        <v/>
      </c>
      <c r="M20" s="68" t="n"/>
      <c r="N20" s="68" t="n"/>
      <c r="O20" s="69" t="inlineStr">
        <is>
          <t>TOTAL CARTÕES</t>
        </is>
      </c>
      <c r="P20" s="70">
        <f>SUM(P4:P19)</f>
        <v/>
      </c>
      <c r="Q20" s="70">
        <f>SUM(Q4:Q19)</f>
        <v/>
      </c>
      <c r="R20" s="70">
        <f>SUM(R4:R19)</f>
        <v/>
      </c>
      <c r="S20" s="70">
        <f>SUM(S4:S19)</f>
        <v/>
      </c>
      <c r="T20" s="70">
        <f>SUM(T4:T19)</f>
        <v/>
      </c>
      <c r="U20" s="71" t="n"/>
      <c r="V20" s="71" t="n"/>
    </row>
    <row r="21">
      <c r="O21" s="72" t="inlineStr">
        <is>
          <t>¹ SALDO = Fatura − Pago  (valor não quitado = nova dívida do mês)</t>
        </is>
      </c>
    </row>
    <row r="22" ht="22" customHeight="1">
      <c r="A22" s="73" t="inlineStr">
        <is>
          <t>ASSINATURAS ONLINE</t>
        </is>
      </c>
      <c r="F22" s="73" t="inlineStr">
        <is>
          <t>NOTAS / EMPRÉSTIMOS / CONSIGNADOS</t>
        </is>
      </c>
    </row>
    <row r="23" ht="20" customHeight="1">
      <c r="A23" s="74" t="inlineStr">
        <is>
          <t>CARTÃO</t>
        </is>
      </c>
      <c r="B23" s="74" t="inlineStr">
        <is>
          <t>SERVIÇO</t>
        </is>
      </c>
      <c r="C23" s="74" t="inlineStr">
        <is>
          <t>VALOR</t>
        </is>
      </c>
      <c r="D23" s="74" t="inlineStr">
        <is>
          <t>DIA/SITUAÇÃO</t>
        </is>
      </c>
      <c r="F23" s="74" t="inlineStr">
        <is>
          <t>DESCRIÇÃO</t>
        </is>
      </c>
      <c r="G23" s="74" t="inlineStr">
        <is>
          <t>TAXA (am)</t>
        </is>
      </c>
      <c r="H23" s="74" t="inlineStr">
        <is>
          <t>TAXA (aa)</t>
        </is>
      </c>
      <c r="I23" s="74" t="inlineStr">
        <is>
          <t>OBS / SALDO</t>
        </is>
      </c>
    </row>
    <row r="24" ht="18" customHeight="1">
      <c r="A24" s="75" t="inlineStr">
        <is>
          <t>NU</t>
        </is>
      </c>
      <c r="B24" s="22" t="inlineStr">
        <is>
          <t>GDRIVE SABRI</t>
        </is>
      </c>
      <c r="C24" s="23" t="n">
        <v>49.9</v>
      </c>
      <c r="D24" s="22" t="inlineStr">
        <is>
          <t>DIA 04 — CRÉDITO (NU)</t>
        </is>
      </c>
      <c r="F24" s="22" t="inlineStr">
        <is>
          <t>Consignado Nubank 1</t>
        </is>
      </c>
      <c r="G24" s="75" t="inlineStr">
        <is>
          <t>1.30% am</t>
        </is>
      </c>
      <c r="H24" s="75" t="inlineStr">
        <is>
          <t>16.74% aa</t>
        </is>
      </c>
      <c r="I24" s="22" t="inlineStr">
        <is>
          <t>73x</t>
        </is>
      </c>
    </row>
    <row r="25" ht="18" customHeight="1">
      <c r="A25" s="76" t="inlineStr">
        <is>
          <t>NU</t>
        </is>
      </c>
      <c r="B25" s="77" t="inlineStr">
        <is>
          <t>CONTA TIM</t>
        </is>
      </c>
      <c r="C25" s="78" t="n">
        <v>42</v>
      </c>
      <c r="D25" s="77" t="inlineStr">
        <is>
          <t>DIA 15 — PG MANUAL</t>
        </is>
      </c>
      <c r="F25" s="77" t="inlineStr">
        <is>
          <t>Consignado Nubank 2</t>
        </is>
      </c>
      <c r="G25" s="76" t="inlineStr">
        <is>
          <t>1.57% am</t>
        </is>
      </c>
      <c r="H25" s="76" t="inlineStr">
        <is>
          <t>21.85% aa</t>
        </is>
      </c>
      <c r="I25" s="77" t="inlineStr">
        <is>
          <t>96x — saldo R$776,82</t>
        </is>
      </c>
    </row>
    <row r="26" ht="18" customHeight="1">
      <c r="A26" s="75" t="inlineStr">
        <is>
          <t>SANTANDER SX</t>
        </is>
      </c>
      <c r="B26" s="22" t="inlineStr">
        <is>
          <t>PLANO CLARO</t>
        </is>
      </c>
      <c r="C26" s="23" t="n">
        <v>73.73</v>
      </c>
      <c r="D26" s="22" t="inlineStr">
        <is>
          <t>DIA 09 — PG MANUAL</t>
        </is>
      </c>
      <c r="F26" s="22" t="inlineStr">
        <is>
          <t>Fin. Habitação CAIXA</t>
        </is>
      </c>
      <c r="G26" s="75" t="inlineStr">
        <is>
          <t>7% nominal</t>
        </is>
      </c>
      <c r="H26" s="75" t="inlineStr"/>
      <c r="I26" s="22" t="inlineStr"/>
    </row>
    <row r="27" ht="18" customHeight="1">
      <c r="A27" s="76" t="inlineStr">
        <is>
          <t>NU</t>
        </is>
      </c>
      <c r="B27" s="77" t="inlineStr">
        <is>
          <t>YOUTUBE ST</t>
        </is>
      </c>
      <c r="C27" s="78" t="n">
        <v>53.9</v>
      </c>
      <c r="D27" s="77" t="inlineStr">
        <is>
          <t>DIA 25 — CRÉDITO (NU)</t>
        </is>
      </c>
      <c r="F27" s="77" t="inlineStr">
        <is>
          <t>Empréstimo Sabrina</t>
        </is>
      </c>
      <c r="G27" s="76" t="inlineStr"/>
      <c r="H27" s="76" t="inlineStr"/>
      <c r="I27" s="77" t="inlineStr">
        <is>
          <t>saldo R$2.503,46</t>
        </is>
      </c>
    </row>
    <row r="28" ht="18" customHeight="1">
      <c r="A28" s="75" t="inlineStr">
        <is>
          <t>NU</t>
        </is>
      </c>
      <c r="B28" s="22" t="inlineStr">
        <is>
          <t>ICLOUD</t>
        </is>
      </c>
      <c r="C28" s="23" t="n">
        <v>5.9</v>
      </c>
      <c r="D28" s="22" t="inlineStr">
        <is>
          <t>DIA 01 — CRÉDITO (NU)</t>
        </is>
      </c>
      <c r="F28" s="22" t="inlineStr">
        <is>
          <t>Empréstimo Josy</t>
        </is>
      </c>
      <c r="G28" s="75" t="inlineStr"/>
      <c r="H28" s="75" t="inlineStr"/>
      <c r="I28" s="22" t="inlineStr"/>
    </row>
    <row r="29" ht="18" customHeight="1">
      <c r="A29" s="76" t="inlineStr"/>
      <c r="B29" s="77" t="inlineStr">
        <is>
          <t>Serasa</t>
        </is>
      </c>
      <c r="C29" s="78" t="n">
        <v>23.9</v>
      </c>
      <c r="D29" s="77" t="inlineStr">
        <is>
          <t xml:space="preserve">DIA 17 — </t>
        </is>
      </c>
      <c r="F29" s="77" t="inlineStr"/>
      <c r="G29" s="76" t="inlineStr"/>
      <c r="H29" s="76" t="inlineStr"/>
      <c r="I29" s="77" t="inlineStr"/>
    </row>
    <row r="30" ht="18" customHeight="1">
      <c r="A30" s="75" t="inlineStr"/>
      <c r="B30" s="22" t="inlineStr">
        <is>
          <t>Kindle</t>
        </is>
      </c>
      <c r="C30" s="23" t="n">
        <v>24</v>
      </c>
      <c r="D30" s="22" t="inlineStr"/>
      <c r="F30" s="22" t="inlineStr"/>
      <c r="G30" s="75" t="inlineStr"/>
      <c r="H30" s="75" t="inlineStr"/>
      <c r="I30" s="22" t="inlineStr"/>
    </row>
    <row r="31" ht="18" customHeight="1">
      <c r="A31" s="76" t="inlineStr">
        <is>
          <t>NU</t>
        </is>
      </c>
      <c r="B31" s="77" t="inlineStr">
        <is>
          <t>GPT</t>
        </is>
      </c>
      <c r="C31" s="78" t="n">
        <v>130</v>
      </c>
      <c r="D31" s="77" t="inlineStr">
        <is>
          <t>DIA 02 — CRÉDITO (NU)</t>
        </is>
      </c>
    </row>
    <row r="32" ht="18" customHeight="1">
      <c r="A32" s="75" t="inlineStr">
        <is>
          <t>NU</t>
        </is>
      </c>
      <c r="B32" s="22" t="inlineStr">
        <is>
          <t>Copilot</t>
        </is>
      </c>
      <c r="C32" s="23" t="n">
        <v>109.9</v>
      </c>
      <c r="D32" s="22" t="inlineStr">
        <is>
          <t>DIA 04 — CRÉDITO (NU)</t>
        </is>
      </c>
    </row>
    <row r="33" ht="18" customHeight="1">
      <c r="A33" s="76" t="inlineStr">
        <is>
          <t>NU</t>
        </is>
      </c>
      <c r="B33" s="77" t="inlineStr">
        <is>
          <t>WORD</t>
        </is>
      </c>
      <c r="C33" s="78" t="n">
        <v>0</v>
      </c>
      <c r="D33" s="77" t="inlineStr">
        <is>
          <t>Anual — CRÉDITO (NU)</t>
        </is>
      </c>
    </row>
    <row r="34" ht="18" customHeight="1">
      <c r="A34" s="75" t="inlineStr">
        <is>
          <t>NU</t>
        </is>
      </c>
      <c r="B34" s="22" t="inlineStr">
        <is>
          <t>GDRIVE EWE</t>
        </is>
      </c>
      <c r="C34" s="23" t="n">
        <v>0</v>
      </c>
      <c r="D34" s="22" t="inlineStr">
        <is>
          <t>Ago/26 — CRÉDITO (NU)</t>
        </is>
      </c>
    </row>
    <row r="35" ht="18" customHeight="1">
      <c r="A35" s="76" t="inlineStr"/>
      <c r="B35" s="77" t="inlineStr">
        <is>
          <t>PDFVIEW</t>
        </is>
      </c>
      <c r="C35" s="78" t="n">
        <v>0</v>
      </c>
      <c r="D35" s="77" t="inlineStr">
        <is>
          <t>CRÉDITO (NU)</t>
        </is>
      </c>
    </row>
    <row r="36" ht="20" customHeight="1">
      <c r="A36" s="79" t="inlineStr">
        <is>
          <t>TOTAL ASSINATURAS</t>
        </is>
      </c>
      <c r="C36" s="24">
        <f>SUM(C24:C35)</f>
        <v/>
      </c>
      <c r="D36" s="3" t="n"/>
    </row>
    <row r="38" ht="22" customHeight="1">
      <c r="A38" s="80" t="inlineStr">
        <is>
          <t>CHEQUE ESPECIAL / DÍVIDAS FINANCEIRAS</t>
        </is>
      </c>
    </row>
    <row r="39" ht="22" customHeight="1">
      <c r="A39" s="35" t="inlineStr">
        <is>
          <t>BANCO</t>
        </is>
      </c>
      <c r="B39" s="35" t="inlineStr">
        <is>
          <t>LIMITE</t>
        </is>
      </c>
      <c r="C39" s="35" t="inlineStr">
        <is>
          <t>USADO</t>
        </is>
      </c>
      <c r="D39" s="35" t="inlineStr">
        <is>
          <t>JUROS MÊS</t>
        </is>
      </c>
      <c r="E39" s="35" t="inlineStr">
        <is>
          <t>TAXA % aa</t>
        </is>
      </c>
      <c r="F39" s="35" t="inlineStr">
        <is>
          <t>DIAS</t>
        </is>
      </c>
      <c r="G39" s="35" t="inlineStr">
        <is>
          <t>SITUAÇÃO</t>
        </is>
      </c>
    </row>
    <row r="40" ht="19" customHeight="1">
      <c r="A40" s="15" t="inlineStr">
        <is>
          <t>BB</t>
        </is>
      </c>
      <c r="B40" s="16" t="n"/>
      <c r="C40" s="16" t="n"/>
      <c r="D40" s="16" t="n"/>
      <c r="E40" s="81" t="n"/>
      <c r="F40" s="81" t="n"/>
      <c r="G40" s="81" t="n"/>
    </row>
    <row r="41" ht="19" customHeight="1">
      <c r="A41" s="55" t="inlineStr">
        <is>
          <t>Santander</t>
        </is>
      </c>
      <c r="B41" s="82" t="n"/>
      <c r="C41" s="82" t="n"/>
      <c r="D41" s="82" t="n"/>
      <c r="E41" s="83" t="n"/>
      <c r="F41" s="83" t="n"/>
      <c r="G41" s="83" t="n"/>
    </row>
    <row r="42" ht="19" customHeight="1">
      <c r="A42" s="15" t="inlineStr">
        <is>
          <t>Caixa</t>
        </is>
      </c>
      <c r="B42" s="16" t="n"/>
      <c r="C42" s="16" t="n"/>
      <c r="D42" s="16" t="n"/>
      <c r="E42" s="81" t="n"/>
      <c r="F42" s="81" t="n"/>
      <c r="G42" s="81" t="n"/>
    </row>
    <row r="43" ht="19" customHeight="1">
      <c r="A43" s="55" t="inlineStr">
        <is>
          <t>Itaú</t>
        </is>
      </c>
      <c r="B43" s="82" t="n"/>
      <c r="C43" s="82" t="n"/>
      <c r="D43" s="82" t="n"/>
      <c r="E43" s="83" t="n"/>
      <c r="F43" s="83" t="n"/>
      <c r="G43" s="83" t="n"/>
    </row>
    <row r="44" ht="19" customHeight="1">
      <c r="A44" s="15" t="inlineStr">
        <is>
          <t>Bradesco</t>
        </is>
      </c>
      <c r="B44" s="16" t="n"/>
      <c r="C44" s="16" t="n"/>
      <c r="D44" s="16" t="n"/>
      <c r="E44" s="81" t="n"/>
      <c r="F44" s="81" t="n"/>
      <c r="G44" s="81" t="n"/>
    </row>
    <row r="45" ht="20" customHeight="1">
      <c r="A45" s="67" t="inlineStr">
        <is>
          <t>TOTAL CHEQUE ESPECIAL</t>
        </is>
      </c>
      <c r="C45" s="21">
        <f>SUM(C40:C44)</f>
        <v/>
      </c>
      <c r="D45" s="21">
        <f>SUM(D40:D44)</f>
        <v/>
      </c>
      <c r="E45" s="84" t="n"/>
      <c r="F45" s="84" t="n"/>
      <c r="G45" s="84" t="n"/>
    </row>
    <row r="47" ht="28" customHeight="1">
      <c r="A47" s="28" t="inlineStr">
        <is>
          <t xml:space="preserve">  ══  RESULTADO DO MÊS  ══</t>
        </is>
      </c>
    </row>
    <row r="48" ht="19" customHeight="1">
      <c r="A48" s="6" t="inlineStr">
        <is>
          <t>Receita Bruta</t>
        </is>
      </c>
      <c r="F48" s="7">
        <f>B20</f>
        <v/>
      </c>
    </row>
    <row r="49" ht="19" customHeight="1">
      <c r="A49" s="9" t="inlineStr">
        <is>
          <t>(−) Descontos em Folha</t>
        </is>
      </c>
      <c r="F49" s="10">
        <f>F20</f>
        <v/>
      </c>
    </row>
    <row r="50" ht="24" customHeight="1">
      <c r="A50" s="85">
        <f> Receita Líquida</f>
        <v/>
      </c>
      <c r="F50" s="14">
        <f>F48-F49</f>
        <v/>
      </c>
    </row>
    <row r="51" ht="19" customHeight="1">
      <c r="A51" s="15" t="inlineStr">
        <is>
          <t>(−) Despesas Fixas (CET)</t>
        </is>
      </c>
      <c r="F51" s="16">
        <f>L20</f>
        <v/>
      </c>
    </row>
    <row r="52" ht="19" customHeight="1">
      <c r="A52" s="18" t="inlineStr">
        <is>
          <t>(−) Cartões — Valor Pago</t>
        </is>
      </c>
      <c r="F52" s="19">
        <f>Q20</f>
        <v/>
      </c>
    </row>
    <row r="53" ht="19" customHeight="1">
      <c r="A53" s="18" t="inlineStr">
        <is>
          <t>(−) Juros dos Cartões</t>
        </is>
      </c>
      <c r="F53" s="19">
        <f>S20</f>
        <v/>
      </c>
    </row>
    <row r="54" ht="19" customHeight="1">
      <c r="A54" s="15" t="inlineStr">
        <is>
          <t>(−) Juros Cheque Especial</t>
        </is>
      </c>
      <c r="F54" s="16">
        <f>D45</f>
        <v/>
      </c>
    </row>
    <row r="55" ht="19" customHeight="1">
      <c r="A55" s="22" t="inlineStr">
        <is>
          <t>(−) Assinaturas Online</t>
        </is>
      </c>
      <c r="F55" s="23">
        <f>C36</f>
        <v/>
      </c>
    </row>
    <row r="56" ht="24" customHeight="1">
      <c r="A56" s="86">
        <f> SALDO REAL DO MÊS</f>
        <v/>
      </c>
      <c r="F56" s="27">
        <f>F50-F51-F52-F53-F54-F55</f>
        <v/>
      </c>
    </row>
    <row r="57" ht="19" customHeight="1">
      <c r="A57" s="15" t="inlineStr">
        <is>
          <t>⚠  Nova Dívida (cartões não pagos)</t>
        </is>
      </c>
      <c r="F57" s="16">
        <f>R20</f>
        <v/>
      </c>
    </row>
    <row r="59" ht="22" customHeight="1">
      <c r="A59" s="73" t="inlineStr">
        <is>
          <t>CONTAS E SALDOS</t>
        </is>
      </c>
    </row>
    <row r="60" ht="18" customHeight="1">
      <c r="A60" s="74" t="inlineStr">
        <is>
          <t>BANCO / CARTEIRA</t>
        </is>
      </c>
      <c r="B60" s="74" t="inlineStr">
        <is>
          <t>SALDO (R$)</t>
        </is>
      </c>
      <c r="C60" s="74" t="inlineStr">
        <is>
          <t>OBS</t>
        </is>
      </c>
    </row>
    <row r="61" ht="18" customHeight="1">
      <c r="A61" s="22" t="inlineStr">
        <is>
          <t>Saldo CC BB</t>
        </is>
      </c>
      <c r="B61" s="23" t="n"/>
      <c r="C61" s="87" t="n"/>
    </row>
    <row r="62" ht="18" customHeight="1">
      <c r="A62" s="77" t="inlineStr">
        <is>
          <t>Santander</t>
        </is>
      </c>
      <c r="B62" s="78" t="n"/>
      <c r="C62" s="88" t="n"/>
    </row>
    <row r="63" ht="18" customHeight="1">
      <c r="A63" s="22" t="inlineStr">
        <is>
          <t>Caixa</t>
        </is>
      </c>
      <c r="B63" s="23" t="n"/>
      <c r="C63" s="87" t="n"/>
    </row>
    <row r="64" ht="18" customHeight="1">
      <c r="A64" s="77" t="inlineStr">
        <is>
          <t>Bipa</t>
        </is>
      </c>
      <c r="B64" s="78" t="n"/>
      <c r="C64" s="88" t="n"/>
    </row>
    <row r="65" ht="18" customHeight="1">
      <c r="A65" s="22" t="inlineStr">
        <is>
          <t>Nubank</t>
        </is>
      </c>
      <c r="B65" s="23" t="n"/>
      <c r="C65" s="87" t="n"/>
    </row>
    <row r="66" ht="18" customHeight="1">
      <c r="A66" s="77" t="inlineStr">
        <is>
          <t>Itaú</t>
        </is>
      </c>
      <c r="B66" s="78" t="n"/>
      <c r="C66" s="88" t="n"/>
    </row>
    <row r="67" ht="18" customHeight="1">
      <c r="A67" s="22" t="inlineStr">
        <is>
          <t>MP</t>
        </is>
      </c>
      <c r="B67" s="23" t="n"/>
      <c r="C67" s="87" t="n"/>
    </row>
    <row r="68" ht="18" customHeight="1">
      <c r="A68" s="77" t="inlineStr">
        <is>
          <t>KuCoin</t>
        </is>
      </c>
      <c r="B68" s="78" t="n"/>
      <c r="C68" s="88" t="n"/>
    </row>
    <row r="69" ht="18" customHeight="1">
      <c r="A69" s="22" t="inlineStr">
        <is>
          <t>Ton</t>
        </is>
      </c>
      <c r="B69" s="23" t="n"/>
      <c r="C69" s="87" t="n"/>
    </row>
    <row r="70" ht="18" customHeight="1">
      <c r="A70" s="77" t="inlineStr">
        <is>
          <t>Picpay</t>
        </is>
      </c>
      <c r="B70" s="78" t="n"/>
      <c r="C70" s="88" t="n"/>
    </row>
    <row r="71" ht="18" customHeight="1">
      <c r="A71" s="22" t="inlineStr">
        <is>
          <t>Recargapay</t>
        </is>
      </c>
      <c r="B71" s="23" t="n"/>
      <c r="C71" s="87" t="n"/>
    </row>
    <row r="72" ht="18" customHeight="1">
      <c r="A72" s="77" t="inlineStr">
        <is>
          <t>Infinitepay</t>
        </is>
      </c>
      <c r="B72" s="78" t="n"/>
      <c r="C72" s="88" t="n"/>
    </row>
    <row r="73" ht="18" customHeight="1">
      <c r="A73" s="22" t="inlineStr">
        <is>
          <t>PagBank</t>
        </is>
      </c>
      <c r="B73" s="23" t="n"/>
      <c r="C73" s="87" t="n"/>
    </row>
    <row r="74" ht="18" customHeight="1">
      <c r="A74" s="77" t="inlineStr">
        <is>
          <t>C6 BANK</t>
        </is>
      </c>
      <c r="B74" s="78" t="n"/>
      <c r="C74" s="88" t="n"/>
    </row>
    <row r="75" ht="18" customHeight="1">
      <c r="A75" s="22" t="inlineStr">
        <is>
          <t>INTER</t>
        </is>
      </c>
      <c r="B75" s="23" t="n"/>
      <c r="C75" s="87" t="n"/>
    </row>
    <row r="76" ht="18" customHeight="1">
      <c r="A76" s="77" t="inlineStr">
        <is>
          <t>Bradesco</t>
        </is>
      </c>
      <c r="B76" s="78" t="n"/>
      <c r="C76" s="88" t="n"/>
    </row>
    <row r="77" ht="18" customHeight="1">
      <c r="A77" s="22" t="inlineStr">
        <is>
          <t>BTG</t>
        </is>
      </c>
      <c r="B77" s="23" t="n"/>
      <c r="C77" s="87" t="n"/>
    </row>
    <row r="78" ht="20" customHeight="1">
      <c r="A78" s="79" t="inlineStr">
        <is>
          <t>TOTAL EM CONTAS</t>
        </is>
      </c>
      <c r="B78" s="24">
        <f>SUM(B61:B77)</f>
        <v/>
      </c>
      <c r="C78" s="3" t="n"/>
    </row>
  </sheetData>
  <mergeCells count="23">
    <mergeCell ref="A48:E48"/>
    <mergeCell ref="A22:D22"/>
    <mergeCell ref="A45:B45"/>
    <mergeCell ref="A49:E49"/>
    <mergeCell ref="A51:E51"/>
    <mergeCell ref="A36:B36"/>
    <mergeCell ref="A38:G38"/>
    <mergeCell ref="A47:F47"/>
    <mergeCell ref="A54:E54"/>
    <mergeCell ref="A56:E56"/>
    <mergeCell ref="A55:E55"/>
    <mergeCell ref="A50:E50"/>
    <mergeCell ref="A57:E57"/>
    <mergeCell ref="A1:V1"/>
    <mergeCell ref="O21:V21"/>
    <mergeCell ref="A59:C59"/>
    <mergeCell ref="A53:E53"/>
    <mergeCell ref="I2:N2"/>
    <mergeCell ref="O2:V2"/>
    <mergeCell ref="A52:E52"/>
    <mergeCell ref="A2:D2"/>
    <mergeCell ref="E2:H2"/>
    <mergeCell ref="F22:I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3" customWidth="1" min="3" max="3"/>
    <col width="12" customWidth="1" min="4" max="4"/>
    <col width="24" customWidth="1" min="5" max="5"/>
    <col width="14" customWidth="1" min="6" max="6"/>
    <col width="13" customWidth="1" min="7" max="7"/>
    <col width="13" customWidth="1" min="8" max="8"/>
    <col width="24" customWidth="1" min="9" max="9"/>
    <col width="12" customWidth="1" min="10" max="10"/>
    <col width="9" customWidth="1" min="11" max="11"/>
    <col width="12" customWidth="1" min="12" max="12"/>
    <col width="13" customWidth="1" min="13" max="13"/>
    <col width="12" customWidth="1" min="14" max="14"/>
    <col width="16" customWidth="1" min="15" max="15"/>
    <col width="14" customWidth="1" min="16" max="16"/>
    <col width="14" customWidth="1" min="17" max="17"/>
    <col width="12" customWidth="1" min="18" max="18"/>
    <col width="9" customWidth="1" min="19" max="19"/>
    <col width="12" customWidth="1" min="20" max="20"/>
    <col width="13" customWidth="1" min="21" max="21"/>
    <col width="16" customWidth="1" min="22" max="22"/>
  </cols>
  <sheetData>
    <row r="1" ht="30" customHeight="1">
      <c r="A1" s="28" t="inlineStr">
        <is>
          <t>ORÇAMENTO  MAIO  2026</t>
        </is>
      </c>
    </row>
    <row r="2" ht="22" customHeight="1">
      <c r="A2" s="29" t="inlineStr">
        <is>
          <t>▶  FONTES DE RECEITA</t>
        </is>
      </c>
      <c r="E2" s="30" t="inlineStr">
        <is>
          <t>▶  DESCONTOS EM FOLHA</t>
        </is>
      </c>
      <c r="I2" s="31" t="inlineStr">
        <is>
          <t>▶  DESPESAS FIXAS</t>
        </is>
      </c>
      <c r="O2" s="32" t="inlineStr">
        <is>
          <t>▶  DESPESAS COM CARTÕES</t>
        </is>
      </c>
    </row>
    <row r="3" ht="26" customHeight="1">
      <c r="A3" s="33" t="inlineStr">
        <is>
          <t>ORIGEM</t>
        </is>
      </c>
      <c r="B3" s="33" t="inlineStr">
        <is>
          <t>VALOR</t>
        </is>
      </c>
      <c r="C3" s="33" t="inlineStr">
        <is>
          <t>SITUAÇÃO</t>
        </is>
      </c>
      <c r="D3" s="33" t="inlineStr">
        <is>
          <t>DATA PG</t>
        </is>
      </c>
      <c r="E3" s="34" t="inlineStr">
        <is>
          <t>ORIGEM</t>
        </is>
      </c>
      <c r="F3" s="34" t="inlineStr">
        <is>
          <t>VALOR</t>
        </is>
      </c>
      <c r="G3" s="34" t="inlineStr">
        <is>
          <t>INFO</t>
        </is>
      </c>
      <c r="H3" s="34" t="inlineStr">
        <is>
          <t>OBS</t>
        </is>
      </c>
      <c r="I3" s="35" t="inlineStr">
        <is>
          <t>ORIGEM</t>
        </is>
      </c>
      <c r="J3" s="35" t="inlineStr">
        <is>
          <t>VALOR</t>
        </is>
      </c>
      <c r="K3" s="35" t="inlineStr">
        <is>
          <t>JUROS</t>
        </is>
      </c>
      <c r="L3" s="35" t="inlineStr">
        <is>
          <t>CET</t>
        </is>
      </c>
      <c r="M3" s="35" t="inlineStr">
        <is>
          <t>SITUAÇÃO</t>
        </is>
      </c>
      <c r="N3" s="35" t="inlineStr">
        <is>
          <t>DATA PG</t>
        </is>
      </c>
      <c r="O3" s="36" t="inlineStr">
        <is>
          <t>CARTÃO</t>
        </is>
      </c>
      <c r="P3" s="36" t="inlineStr">
        <is>
          <t>FATURA</t>
        </is>
      </c>
      <c r="Q3" s="36" t="inlineStr">
        <is>
          <t>PAGO</t>
        </is>
      </c>
      <c r="R3" s="36" t="inlineStr">
        <is>
          <t>SALDO¹</t>
        </is>
      </c>
      <c r="S3" s="36" t="inlineStr">
        <is>
          <t>JUROS</t>
        </is>
      </c>
      <c r="T3" s="36" t="inlineStr">
        <is>
          <t>CET</t>
        </is>
      </c>
      <c r="U3" s="36" t="inlineStr">
        <is>
          <t>SITUAÇÃO</t>
        </is>
      </c>
      <c r="V3" s="36" t="inlineStr">
        <is>
          <t>DATA PG</t>
        </is>
      </c>
    </row>
    <row r="4" ht="20" customHeight="1">
      <c r="A4" s="6" t="inlineStr">
        <is>
          <t>SALÁRIO</t>
        </is>
      </c>
      <c r="B4" s="37" t="n"/>
      <c r="C4" s="38" t="n"/>
      <c r="D4" s="39" t="n"/>
      <c r="E4" s="9" t="inlineStr">
        <is>
          <t>Consignado V.Nbk</t>
        </is>
      </c>
      <c r="F4" s="40" t="n"/>
      <c r="G4" s="41" t="n"/>
      <c r="H4" s="41" t="n"/>
      <c r="I4" s="15" t="inlineStr">
        <is>
          <t>HAPVIDA/SALMINHO</t>
        </is>
      </c>
      <c r="J4" s="42" t="n"/>
      <c r="K4" s="42" t="n"/>
      <c r="L4" s="42">
        <f>IF(J4="","",J4+IF(K4="",0,K4))</f>
        <v/>
      </c>
      <c r="M4" s="43" t="n"/>
      <c r="N4" s="44" t="n"/>
      <c r="O4" s="18" t="inlineStr">
        <is>
          <t>BB</t>
        </is>
      </c>
      <c r="P4" s="45" t="n"/>
      <c r="Q4" s="45" t="n"/>
      <c r="R4" s="45">
        <f>IF(P4="","",P4-IF(Q4="",0,Q4))</f>
        <v/>
      </c>
      <c r="S4" s="45" t="n"/>
      <c r="T4" s="45">
        <f>IF(Q4="","",Q4+IF(S4="",0,S4))</f>
        <v/>
      </c>
      <c r="U4" s="46" t="n"/>
      <c r="V4" s="47" t="n"/>
    </row>
    <row r="5" ht="20" customHeight="1">
      <c r="A5" s="48" t="inlineStr">
        <is>
          <t>Kalena OF/NET</t>
        </is>
      </c>
      <c r="B5" s="49" t="n"/>
      <c r="C5" s="50" t="n"/>
      <c r="D5" s="51" t="n"/>
      <c r="E5" s="52" t="inlineStr">
        <is>
          <t>Caixa Habitação</t>
        </is>
      </c>
      <c r="F5" s="53" t="n"/>
      <c r="G5" s="54" t="n"/>
      <c r="H5" s="54" t="n"/>
      <c r="I5" s="55" t="inlineStr">
        <is>
          <t>HAPVIDA/SABRINA</t>
        </is>
      </c>
      <c r="J5" s="56" t="n"/>
      <c r="K5" s="56" t="n"/>
      <c r="L5" s="56">
        <f>IF(J5="","",J5+IF(K5="",0,K5))</f>
        <v/>
      </c>
      <c r="M5" s="57" t="n"/>
      <c r="N5" s="58" t="n"/>
      <c r="O5" s="59" t="inlineStr">
        <is>
          <t>NU</t>
        </is>
      </c>
      <c r="P5" s="60" t="n"/>
      <c r="Q5" s="60" t="n"/>
      <c r="R5" s="60">
        <f>IF(P5="","",P5-IF(Q5="",0,Q5))</f>
        <v/>
      </c>
      <c r="S5" s="60" t="n"/>
      <c r="T5" s="60">
        <f>IF(Q5="","",Q5+IF(S5="",0,S5))</f>
        <v/>
      </c>
      <c r="U5" s="61" t="n"/>
      <c r="V5" s="62" t="n"/>
    </row>
    <row r="6" ht="20" customHeight="1">
      <c r="A6" s="6" t="inlineStr">
        <is>
          <t>ALUGUÉL</t>
        </is>
      </c>
      <c r="B6" s="37" t="n"/>
      <c r="C6" s="38" t="n"/>
      <c r="D6" s="39" t="n"/>
      <c r="E6" s="9" t="inlineStr">
        <is>
          <t>Consignado BB</t>
        </is>
      </c>
      <c r="F6" s="40" t="n"/>
      <c r="G6" s="41" t="n"/>
      <c r="H6" s="41" t="n"/>
      <c r="I6" s="15" t="inlineStr">
        <is>
          <t>HAP EWE E EFRA</t>
        </is>
      </c>
      <c r="J6" s="42" t="n"/>
      <c r="K6" s="42" t="n"/>
      <c r="L6" s="42">
        <f>IF(J6="","",J6+IF(K6="",0,K6))</f>
        <v/>
      </c>
      <c r="M6" s="43" t="n"/>
      <c r="N6" s="44" t="n"/>
      <c r="O6" s="18" t="inlineStr">
        <is>
          <t>Santander SX</t>
        </is>
      </c>
      <c r="P6" s="45" t="n"/>
      <c r="Q6" s="45" t="n"/>
      <c r="R6" s="45">
        <f>IF(P6="","",P6-IF(Q6="",0,Q6))</f>
        <v/>
      </c>
      <c r="S6" s="45" t="n"/>
      <c r="T6" s="45">
        <f>IF(Q6="","",Q6+IF(S6="",0,S6))</f>
        <v/>
      </c>
      <c r="U6" s="46" t="n"/>
      <c r="V6" s="47" t="n"/>
    </row>
    <row r="7" ht="20" customHeight="1">
      <c r="A7" s="48" t="inlineStr">
        <is>
          <t>Wagner</t>
        </is>
      </c>
      <c r="B7" s="49" t="n"/>
      <c r="C7" s="50" t="n"/>
      <c r="D7" s="51" t="n"/>
      <c r="E7" s="52" t="inlineStr">
        <is>
          <t>Emp.Sal.BB</t>
        </is>
      </c>
      <c r="F7" s="53" t="n"/>
      <c r="G7" s="54" t="n"/>
      <c r="H7" s="54" t="n"/>
      <c r="I7" s="55" t="inlineStr">
        <is>
          <t>CELPA ENERGIA</t>
        </is>
      </c>
      <c r="J7" s="56" t="n"/>
      <c r="K7" s="56" t="n"/>
      <c r="L7" s="56">
        <f>IF(J7="","",J7+IF(K7="",0,K7))</f>
        <v/>
      </c>
      <c r="M7" s="57" t="n"/>
      <c r="N7" s="58" t="n"/>
      <c r="O7" s="59" t="inlineStr">
        <is>
          <t>SELITE</t>
        </is>
      </c>
      <c r="P7" s="60" t="n"/>
      <c r="Q7" s="60" t="n"/>
      <c r="R7" s="60">
        <f>IF(P7="","",P7-IF(Q7="",0,Q7))</f>
        <v/>
      </c>
      <c r="S7" s="60" t="n"/>
      <c r="T7" s="60">
        <f>IF(Q7="","",Q7+IF(S7="",0,S7))</f>
        <v/>
      </c>
      <c r="U7" s="61" t="n"/>
      <c r="V7" s="62" t="n"/>
    </row>
    <row r="8" ht="20" customHeight="1">
      <c r="A8" s="6" t="inlineStr">
        <is>
          <t>Neto</t>
        </is>
      </c>
      <c r="B8" s="37" t="n"/>
      <c r="C8" s="38" t="n"/>
      <c r="D8" s="39" t="n"/>
      <c r="E8" s="9" t="inlineStr">
        <is>
          <t>AUX.TRANSP</t>
        </is>
      </c>
      <c r="F8" s="40" t="n"/>
      <c r="G8" s="41" t="n"/>
      <c r="H8" s="41" t="n"/>
      <c r="I8" s="15" t="inlineStr">
        <is>
          <t>SEATELECOM</t>
        </is>
      </c>
      <c r="J8" s="42" t="n"/>
      <c r="K8" s="42" t="n"/>
      <c r="L8" s="42">
        <f>IF(J8="","",J8+IF(K8="",0,K8))</f>
        <v/>
      </c>
      <c r="M8" s="43" t="n"/>
      <c r="N8" s="44" t="n"/>
      <c r="O8" s="18" t="inlineStr">
        <is>
          <t>Caixa Gold</t>
        </is>
      </c>
      <c r="P8" s="45" t="n"/>
      <c r="Q8" s="45" t="n"/>
      <c r="R8" s="45">
        <f>IF(P8="","",P8-IF(Q8="",0,Q8))</f>
        <v/>
      </c>
      <c r="S8" s="45" t="n"/>
      <c r="T8" s="45">
        <f>IF(Q8="","",Q8+IF(S8="",0,S8))</f>
        <v/>
      </c>
      <c r="U8" s="46" t="n"/>
      <c r="V8" s="47" t="n"/>
    </row>
    <row r="9" ht="20" customHeight="1">
      <c r="A9" s="48" t="inlineStr">
        <is>
          <t>UAB</t>
        </is>
      </c>
      <c r="B9" s="49" t="n"/>
      <c r="C9" s="50" t="n"/>
      <c r="D9" s="51" t="n"/>
      <c r="E9" s="52" t="inlineStr">
        <is>
          <t>CONTRI.SOCIAL</t>
        </is>
      </c>
      <c r="F9" s="53" t="n"/>
      <c r="G9" s="54" t="n"/>
      <c r="H9" s="54" t="n"/>
      <c r="I9" s="55" t="inlineStr">
        <is>
          <t>TX.ÁLAMO</t>
        </is>
      </c>
      <c r="J9" s="56" t="n"/>
      <c r="K9" s="56" t="n"/>
      <c r="L9" s="56">
        <f>IF(J9="","",J9+IF(K9="",0,K9))</f>
        <v/>
      </c>
      <c r="M9" s="57" t="n"/>
      <c r="N9" s="58" t="n"/>
      <c r="O9" s="59" t="inlineStr">
        <is>
          <t>Cartão MP</t>
        </is>
      </c>
      <c r="P9" s="60" t="n"/>
      <c r="Q9" s="60" t="n"/>
      <c r="R9" s="60">
        <f>IF(P9="","",P9-IF(Q9="",0,Q9))</f>
        <v/>
      </c>
      <c r="S9" s="60" t="n"/>
      <c r="T9" s="60">
        <f>IF(Q9="","",Q9+IF(S9="",0,S9))</f>
        <v/>
      </c>
      <c r="U9" s="61" t="n"/>
      <c r="V9" s="62" t="n"/>
    </row>
    <row r="10" ht="20" customHeight="1">
      <c r="A10" s="6" t="inlineStr"/>
      <c r="B10" s="37" t="n"/>
      <c r="C10" s="38" t="n"/>
      <c r="D10" s="39" t="n"/>
      <c r="E10" s="9" t="inlineStr">
        <is>
          <t>IRRF</t>
        </is>
      </c>
      <c r="F10" s="40" t="n"/>
      <c r="G10" s="41" t="n"/>
      <c r="H10" s="41" t="n"/>
      <c r="I10" s="15" t="inlineStr">
        <is>
          <t>CONTA TIM</t>
        </is>
      </c>
      <c r="J10" s="42" t="n"/>
      <c r="K10" s="42" t="n"/>
      <c r="L10" s="42">
        <f>IF(J10="","",J10+IF(K10="",0,K10))</f>
        <v/>
      </c>
      <c r="M10" s="43" t="n"/>
      <c r="N10" s="44" t="n"/>
      <c r="O10" s="18" t="inlineStr">
        <is>
          <t>PicPay Card</t>
        </is>
      </c>
      <c r="P10" s="45" t="n"/>
      <c r="Q10" s="45" t="n"/>
      <c r="R10" s="45">
        <f>IF(P10="","",P10-IF(Q10="",0,Q10))</f>
        <v/>
      </c>
      <c r="S10" s="45" t="n"/>
      <c r="T10" s="45">
        <f>IF(Q10="","",Q10+IF(S10="",0,S10))</f>
        <v/>
      </c>
      <c r="U10" s="46" t="n"/>
      <c r="V10" s="47" t="n"/>
    </row>
    <row r="11" ht="20" customHeight="1">
      <c r="A11" s="48" t="inlineStr"/>
      <c r="B11" s="49" t="n"/>
      <c r="C11" s="50" t="n"/>
      <c r="D11" s="51" t="n"/>
      <c r="E11" s="52" t="inlineStr">
        <is>
          <t>AUX.PRÉ.ESC</t>
        </is>
      </c>
      <c r="F11" s="53" t="n"/>
      <c r="G11" s="54" t="n"/>
      <c r="H11" s="54" t="n"/>
      <c r="I11" s="55" t="inlineStr">
        <is>
          <t>CONTA CLARO</t>
        </is>
      </c>
      <c r="J11" s="56" t="n"/>
      <c r="K11" s="56" t="n"/>
      <c r="L11" s="56">
        <f>IF(J11="","",J11+IF(K11="",0,K11))</f>
        <v/>
      </c>
      <c r="M11" s="57" t="n"/>
      <c r="N11" s="58" t="n"/>
      <c r="O11" s="59" t="inlineStr">
        <is>
          <t>Itaú Card</t>
        </is>
      </c>
      <c r="P11" s="60" t="n"/>
      <c r="Q11" s="60" t="n"/>
      <c r="R11" s="60">
        <f>IF(P11="","",P11-IF(Q11="",0,Q11))</f>
        <v/>
      </c>
      <c r="S11" s="60" t="n"/>
      <c r="T11" s="60">
        <f>IF(Q11="","",Q11+IF(S11="",0,S11))</f>
        <v/>
      </c>
      <c r="U11" s="61" t="n"/>
      <c r="V11" s="62" t="n"/>
    </row>
    <row r="12" ht="20" customHeight="1">
      <c r="A12" s="6" t="inlineStr"/>
      <c r="B12" s="37" t="n"/>
      <c r="C12" s="38" t="n"/>
      <c r="D12" s="39" t="n"/>
      <c r="E12" s="9" t="inlineStr">
        <is>
          <t>Dízimo</t>
        </is>
      </c>
      <c r="F12" s="40" t="n"/>
      <c r="G12" s="41" t="n"/>
      <c r="H12" s="41" t="n"/>
      <c r="I12" s="15" t="inlineStr">
        <is>
          <t>MAXÍDOMINI</t>
        </is>
      </c>
      <c r="J12" s="42" t="n"/>
      <c r="K12" s="42" t="n"/>
      <c r="L12" s="42">
        <f>IF(J12="","",J12+IF(K12="",0,K12))</f>
        <v/>
      </c>
      <c r="M12" s="43" t="n"/>
      <c r="N12" s="44" t="n"/>
      <c r="O12" s="18" t="inlineStr">
        <is>
          <t>CAIXA ELO</t>
        </is>
      </c>
      <c r="P12" s="45" t="n"/>
      <c r="Q12" s="45" t="n"/>
      <c r="R12" s="45">
        <f>IF(P12="","",P12-IF(Q12="",0,Q12))</f>
        <v/>
      </c>
      <c r="S12" s="45" t="n"/>
      <c r="T12" s="45">
        <f>IF(Q12="","",Q12+IF(S12="",0,S12))</f>
        <v/>
      </c>
      <c r="U12" s="46" t="n"/>
      <c r="V12" s="47" t="n"/>
    </row>
    <row r="13" ht="20" customHeight="1">
      <c r="A13" s="48" t="inlineStr"/>
      <c r="B13" s="49" t="n"/>
      <c r="C13" s="50" t="n"/>
      <c r="D13" s="51" t="n"/>
      <c r="E13" s="52" t="inlineStr"/>
      <c r="F13" s="53" t="n"/>
      <c r="G13" s="54" t="n"/>
      <c r="H13" s="54" t="n"/>
      <c r="I13" s="55" t="inlineStr">
        <is>
          <t>COSANPA/ÁGUA</t>
        </is>
      </c>
      <c r="J13" s="56" t="n"/>
      <c r="K13" s="56" t="n"/>
      <c r="L13" s="56">
        <f>IF(J13="","",J13+IF(K13="",0,K13))</f>
        <v/>
      </c>
      <c r="M13" s="57" t="n"/>
      <c r="N13" s="58" t="n"/>
      <c r="O13" s="59" t="inlineStr">
        <is>
          <t>Bradesco</t>
        </is>
      </c>
      <c r="P13" s="60" t="n"/>
      <c r="Q13" s="60" t="n"/>
      <c r="R13" s="60">
        <f>IF(P13="","",P13-IF(Q13="",0,Q13))</f>
        <v/>
      </c>
      <c r="S13" s="60" t="n"/>
      <c r="T13" s="60">
        <f>IF(Q13="","",Q13+IF(S13="",0,S13))</f>
        <v/>
      </c>
      <c r="U13" s="61" t="n"/>
      <c r="V13" s="62" t="n"/>
    </row>
    <row r="14" ht="20" customHeight="1">
      <c r="A14" s="6" t="inlineStr"/>
      <c r="B14" s="37" t="n"/>
      <c r="C14" s="38" t="n"/>
      <c r="D14" s="39" t="n"/>
      <c r="E14" s="9" t="inlineStr"/>
      <c r="F14" s="40" t="n"/>
      <c r="G14" s="41" t="n"/>
      <c r="H14" s="41" t="n"/>
      <c r="I14" s="15" t="inlineStr">
        <is>
          <t>ESCOLA SALMOM</t>
        </is>
      </c>
      <c r="J14" s="42" t="n"/>
      <c r="K14" s="42" t="n"/>
      <c r="L14" s="42">
        <f>IF(J14="","",J14+IF(K14="",0,K14))</f>
        <v/>
      </c>
      <c r="M14" s="43" t="n"/>
      <c r="N14" s="44" t="n"/>
      <c r="O14" s="18" t="inlineStr">
        <is>
          <t>RecargaPay</t>
        </is>
      </c>
      <c r="P14" s="45" t="n"/>
      <c r="Q14" s="45" t="n"/>
      <c r="R14" s="45">
        <f>IF(P14="","",P14-IF(Q14="",0,Q14))</f>
        <v/>
      </c>
      <c r="S14" s="45" t="n"/>
      <c r="T14" s="45">
        <f>IF(Q14="","",Q14+IF(S14="",0,S14))</f>
        <v/>
      </c>
      <c r="U14" s="46" t="n"/>
      <c r="V14" s="47" t="n"/>
    </row>
    <row r="15" ht="20" customHeight="1">
      <c r="A15" s="48" t="inlineStr"/>
      <c r="B15" s="49" t="n"/>
      <c r="C15" s="50" t="n"/>
      <c r="D15" s="51" t="n"/>
      <c r="E15" s="52" t="inlineStr"/>
      <c r="F15" s="53" t="n"/>
      <c r="G15" s="54" t="n"/>
      <c r="H15" s="54" t="n"/>
      <c r="I15" s="55" t="inlineStr">
        <is>
          <t>CORECON</t>
        </is>
      </c>
      <c r="J15" s="56" t="n"/>
      <c r="K15" s="56" t="n"/>
      <c r="L15" s="56">
        <f>IF(J15="","",J15+IF(K15="",0,K15))</f>
        <v/>
      </c>
      <c r="M15" s="57" t="n"/>
      <c r="N15" s="58" t="n"/>
      <c r="O15" s="59" t="inlineStr">
        <is>
          <t>BipaCard</t>
        </is>
      </c>
      <c r="P15" s="60" t="n"/>
      <c r="Q15" s="60" t="n"/>
      <c r="R15" s="60">
        <f>IF(P15="","",P15-IF(Q15="",0,Q15))</f>
        <v/>
      </c>
      <c r="S15" s="60" t="n"/>
      <c r="T15" s="60">
        <f>IF(Q15="","",Q15+IF(S15="",0,S15))</f>
        <v/>
      </c>
      <c r="U15" s="61" t="n"/>
      <c r="V15" s="62" t="n"/>
    </row>
    <row r="16" ht="20" customHeight="1">
      <c r="A16" s="6" t="inlineStr"/>
      <c r="B16" s="37" t="n"/>
      <c r="C16" s="38" t="n"/>
      <c r="D16" s="39" t="n"/>
      <c r="E16" s="9" t="inlineStr"/>
      <c r="F16" s="40" t="n"/>
      <c r="G16" s="41" t="n"/>
      <c r="H16" s="41" t="n"/>
      <c r="I16" s="15" t="inlineStr">
        <is>
          <t>Boticário</t>
        </is>
      </c>
      <c r="J16" s="42" t="n"/>
      <c r="K16" s="42" t="n"/>
      <c r="L16" s="42">
        <f>IF(J16="","",J16+IF(K16="",0,K16))</f>
        <v/>
      </c>
      <c r="M16" s="43" t="n"/>
      <c r="N16" s="44" t="n"/>
      <c r="O16" s="18" t="inlineStr">
        <is>
          <t>InfinitCard</t>
        </is>
      </c>
      <c r="P16" s="45" t="n"/>
      <c r="Q16" s="45" t="n"/>
      <c r="R16" s="45">
        <f>IF(P16="","",P16-IF(Q16="",0,Q16))</f>
        <v/>
      </c>
      <c r="S16" s="45" t="n"/>
      <c r="T16" s="45">
        <f>IF(Q16="","",Q16+IF(S16="",0,S16))</f>
        <v/>
      </c>
      <c r="U16" s="46" t="n"/>
      <c r="V16" s="47" t="n"/>
    </row>
    <row r="17" ht="20" customHeight="1">
      <c r="A17" s="48" t="inlineStr"/>
      <c r="B17" s="49" t="n"/>
      <c r="C17" s="50" t="n"/>
      <c r="D17" s="51" t="n"/>
      <c r="E17" s="52" t="inlineStr"/>
      <c r="F17" s="53" t="n"/>
      <c r="G17" s="54" t="n"/>
      <c r="H17" s="54" t="n"/>
      <c r="I17" s="55" t="inlineStr">
        <is>
          <t>Rodobens</t>
        </is>
      </c>
      <c r="J17" s="56" t="n"/>
      <c r="K17" s="56" t="n"/>
      <c r="L17" s="56">
        <f>IF(J17="","",J17+IF(K17="",0,K17))</f>
        <v/>
      </c>
      <c r="M17" s="57" t="n"/>
      <c r="N17" s="58" t="n"/>
      <c r="O17" s="59" t="inlineStr">
        <is>
          <t>Pagbank</t>
        </is>
      </c>
      <c r="P17" s="60" t="n"/>
      <c r="Q17" s="60" t="n"/>
      <c r="R17" s="60">
        <f>IF(P17="","",P17-IF(Q17="",0,Q17))</f>
        <v/>
      </c>
      <c r="S17" s="60" t="n"/>
      <c r="T17" s="60">
        <f>IF(Q17="","",Q17+IF(S17="",0,S17))</f>
        <v/>
      </c>
      <c r="U17" s="61" t="n"/>
      <c r="V17" s="62" t="n"/>
    </row>
    <row r="18" ht="20" customHeight="1">
      <c r="A18" s="6" t="inlineStr"/>
      <c r="B18" s="37" t="n"/>
      <c r="C18" s="38" t="n"/>
      <c r="D18" s="39" t="n"/>
      <c r="E18" s="9" t="inlineStr"/>
      <c r="F18" s="40" t="n"/>
      <c r="G18" s="41" t="n"/>
      <c r="H18" s="41" t="n"/>
      <c r="I18" s="15" t="inlineStr"/>
      <c r="J18" s="42" t="n"/>
      <c r="K18" s="42" t="n"/>
      <c r="L18" s="42">
        <f>IF(J18="","",J18+IF(K18="",0,K18))</f>
        <v/>
      </c>
      <c r="M18" s="43" t="n"/>
      <c r="N18" s="44" t="n"/>
      <c r="O18" s="18" t="inlineStr">
        <is>
          <t>TonCard</t>
        </is>
      </c>
      <c r="P18" s="45" t="n"/>
      <c r="Q18" s="45" t="n"/>
      <c r="R18" s="45">
        <f>IF(P18="","",P18-IF(Q18="",0,Q18))</f>
        <v/>
      </c>
      <c r="S18" s="45" t="n"/>
      <c r="T18" s="45">
        <f>IF(Q18="","",Q18+IF(S18="",0,S18))</f>
        <v/>
      </c>
      <c r="U18" s="46" t="n"/>
      <c r="V18" s="47" t="n"/>
    </row>
    <row r="19" ht="20" customHeight="1">
      <c r="A19" s="48" t="inlineStr"/>
      <c r="B19" s="49" t="n"/>
      <c r="C19" s="50" t="n"/>
      <c r="D19" s="51" t="n"/>
      <c r="E19" s="52" t="inlineStr"/>
      <c r="F19" s="53" t="n"/>
      <c r="G19" s="54" t="n"/>
      <c r="H19" s="54" t="n"/>
      <c r="I19" s="55" t="inlineStr"/>
      <c r="J19" s="56" t="n"/>
      <c r="K19" s="56" t="n"/>
      <c r="L19" s="56">
        <f>IF(J19="","",J19+IF(K19="",0,K19))</f>
        <v/>
      </c>
      <c r="M19" s="57" t="n"/>
      <c r="N19" s="58" t="n"/>
      <c r="O19" s="59" t="inlineStr"/>
      <c r="P19" s="60" t="n"/>
      <c r="Q19" s="60" t="n"/>
      <c r="R19" s="60">
        <f>IF(P19="","",P19-IF(Q19="",0,Q19))</f>
        <v/>
      </c>
      <c r="S19" s="60" t="n"/>
      <c r="T19" s="60">
        <f>IF(Q19="","",Q19+IF(S19="",0,S19))</f>
        <v/>
      </c>
      <c r="U19" s="61" t="n"/>
      <c r="V19" s="62" t="n"/>
    </row>
    <row r="20" ht="22" customHeight="1">
      <c r="A20" s="63" t="inlineStr">
        <is>
          <t>RECEITA TOTAL</t>
        </is>
      </c>
      <c r="B20" s="8">
        <f>SUM(B4:B19)</f>
        <v/>
      </c>
      <c r="C20" s="64" t="n"/>
      <c r="D20" s="64" t="n"/>
      <c r="E20" s="65" t="inlineStr">
        <is>
          <t>TOTAL DESCONTOS</t>
        </is>
      </c>
      <c r="F20" s="11">
        <f>SUM(F4:F19)</f>
        <v/>
      </c>
      <c r="G20" s="66" t="n"/>
      <c r="H20" s="66" t="n"/>
      <c r="I20" s="67" t="inlineStr">
        <is>
          <t>TOTAL FIXAS (CET)</t>
        </is>
      </c>
      <c r="J20" s="21">
        <f>SUM(J4:J19)</f>
        <v/>
      </c>
      <c r="K20" s="21">
        <f>SUM(K4:K19)</f>
        <v/>
      </c>
      <c r="L20" s="21">
        <f>SUM(L4:L19)</f>
        <v/>
      </c>
      <c r="M20" s="68" t="n"/>
      <c r="N20" s="68" t="n"/>
      <c r="O20" s="69" t="inlineStr">
        <is>
          <t>TOTAL CARTÕES</t>
        </is>
      </c>
      <c r="P20" s="70">
        <f>SUM(P4:P19)</f>
        <v/>
      </c>
      <c r="Q20" s="70">
        <f>SUM(Q4:Q19)</f>
        <v/>
      </c>
      <c r="R20" s="70">
        <f>SUM(R4:R19)</f>
        <v/>
      </c>
      <c r="S20" s="70">
        <f>SUM(S4:S19)</f>
        <v/>
      </c>
      <c r="T20" s="70">
        <f>SUM(T4:T19)</f>
        <v/>
      </c>
      <c r="U20" s="71" t="n"/>
      <c r="V20" s="71" t="n"/>
    </row>
    <row r="21">
      <c r="O21" s="72" t="inlineStr">
        <is>
          <t>¹ SALDO = Fatura − Pago  (valor não quitado = nova dívida do mês)</t>
        </is>
      </c>
    </row>
    <row r="22" ht="22" customHeight="1">
      <c r="A22" s="73" t="inlineStr">
        <is>
          <t>ASSINATURAS ONLINE</t>
        </is>
      </c>
      <c r="F22" s="73" t="inlineStr">
        <is>
          <t>NOTAS / EMPRÉSTIMOS / CONSIGNADOS</t>
        </is>
      </c>
    </row>
    <row r="23" ht="20" customHeight="1">
      <c r="A23" s="74" t="inlineStr">
        <is>
          <t>CARTÃO</t>
        </is>
      </c>
      <c r="B23" s="74" t="inlineStr">
        <is>
          <t>SERVIÇO</t>
        </is>
      </c>
      <c r="C23" s="74" t="inlineStr">
        <is>
          <t>VALOR</t>
        </is>
      </c>
      <c r="D23" s="74" t="inlineStr">
        <is>
          <t>DIA/SITUAÇÃO</t>
        </is>
      </c>
      <c r="F23" s="74" t="inlineStr">
        <is>
          <t>DESCRIÇÃO</t>
        </is>
      </c>
      <c r="G23" s="74" t="inlineStr">
        <is>
          <t>TAXA (am)</t>
        </is>
      </c>
      <c r="H23" s="74" t="inlineStr">
        <is>
          <t>TAXA (aa)</t>
        </is>
      </c>
      <c r="I23" s="74" t="inlineStr">
        <is>
          <t>OBS / SALDO</t>
        </is>
      </c>
    </row>
    <row r="24" ht="18" customHeight="1">
      <c r="A24" s="75" t="inlineStr">
        <is>
          <t>NU</t>
        </is>
      </c>
      <c r="B24" s="22" t="inlineStr">
        <is>
          <t>GDRIVE SABRI</t>
        </is>
      </c>
      <c r="C24" s="23" t="n">
        <v>49.9</v>
      </c>
      <c r="D24" s="22" t="inlineStr">
        <is>
          <t>DIA 04 — CRÉDITO (NU)</t>
        </is>
      </c>
      <c r="F24" s="22" t="inlineStr">
        <is>
          <t>Consignado Nubank 1</t>
        </is>
      </c>
      <c r="G24" s="75" t="inlineStr">
        <is>
          <t>1.30% am</t>
        </is>
      </c>
      <c r="H24" s="75" t="inlineStr">
        <is>
          <t>16.74% aa</t>
        </is>
      </c>
      <c r="I24" s="22" t="inlineStr">
        <is>
          <t>73x</t>
        </is>
      </c>
    </row>
    <row r="25" ht="18" customHeight="1">
      <c r="A25" s="76" t="inlineStr">
        <is>
          <t>NU</t>
        </is>
      </c>
      <c r="B25" s="77" t="inlineStr">
        <is>
          <t>CONTA TIM</t>
        </is>
      </c>
      <c r="C25" s="78" t="n">
        <v>42</v>
      </c>
      <c r="D25" s="77" t="inlineStr">
        <is>
          <t>DIA 15 — PG MANUAL</t>
        </is>
      </c>
      <c r="F25" s="77" t="inlineStr">
        <is>
          <t>Consignado Nubank 2</t>
        </is>
      </c>
      <c r="G25" s="76" t="inlineStr">
        <is>
          <t>1.57% am</t>
        </is>
      </c>
      <c r="H25" s="76" t="inlineStr">
        <is>
          <t>21.85% aa</t>
        </is>
      </c>
      <c r="I25" s="77" t="inlineStr">
        <is>
          <t>96x — saldo R$776,82</t>
        </is>
      </c>
    </row>
    <row r="26" ht="18" customHeight="1">
      <c r="A26" s="75" t="inlineStr">
        <is>
          <t>SANTANDER SX</t>
        </is>
      </c>
      <c r="B26" s="22" t="inlineStr">
        <is>
          <t>PLANO CLARO</t>
        </is>
      </c>
      <c r="C26" s="23" t="n">
        <v>73.73</v>
      </c>
      <c r="D26" s="22" t="inlineStr">
        <is>
          <t>DIA 09 — PG MANUAL</t>
        </is>
      </c>
      <c r="F26" s="22" t="inlineStr">
        <is>
          <t>Fin. Habitação CAIXA</t>
        </is>
      </c>
      <c r="G26" s="75" t="inlineStr">
        <is>
          <t>7% nominal</t>
        </is>
      </c>
      <c r="H26" s="75" t="inlineStr"/>
      <c r="I26" s="22" t="inlineStr"/>
    </row>
    <row r="27" ht="18" customHeight="1">
      <c r="A27" s="76" t="inlineStr">
        <is>
          <t>NU</t>
        </is>
      </c>
      <c r="B27" s="77" t="inlineStr">
        <is>
          <t>YOUTUBE ST</t>
        </is>
      </c>
      <c r="C27" s="78" t="n">
        <v>53.9</v>
      </c>
      <c r="D27" s="77" t="inlineStr">
        <is>
          <t>DIA 25 — CRÉDITO (NU)</t>
        </is>
      </c>
      <c r="F27" s="77" t="inlineStr">
        <is>
          <t>Empréstimo Sabrina</t>
        </is>
      </c>
      <c r="G27" s="76" t="inlineStr"/>
      <c r="H27" s="76" t="inlineStr"/>
      <c r="I27" s="77" t="inlineStr">
        <is>
          <t>saldo R$2.503,46</t>
        </is>
      </c>
    </row>
    <row r="28" ht="18" customHeight="1">
      <c r="A28" s="75" t="inlineStr">
        <is>
          <t>NU</t>
        </is>
      </c>
      <c r="B28" s="22" t="inlineStr">
        <is>
          <t>ICLOUD</t>
        </is>
      </c>
      <c r="C28" s="23" t="n">
        <v>5.9</v>
      </c>
      <c r="D28" s="22" t="inlineStr">
        <is>
          <t>DIA 01 — CRÉDITO (NU)</t>
        </is>
      </c>
      <c r="F28" s="22" t="inlineStr">
        <is>
          <t>Empréstimo Josy</t>
        </is>
      </c>
      <c r="G28" s="75" t="inlineStr"/>
      <c r="H28" s="75" t="inlineStr"/>
      <c r="I28" s="22" t="inlineStr"/>
    </row>
    <row r="29" ht="18" customHeight="1">
      <c r="A29" s="76" t="inlineStr"/>
      <c r="B29" s="77" t="inlineStr">
        <is>
          <t>Serasa</t>
        </is>
      </c>
      <c r="C29" s="78" t="n">
        <v>23.9</v>
      </c>
      <c r="D29" s="77" t="inlineStr">
        <is>
          <t xml:space="preserve">DIA 17 — </t>
        </is>
      </c>
      <c r="F29" s="77" t="inlineStr"/>
      <c r="G29" s="76" t="inlineStr"/>
      <c r="H29" s="76" t="inlineStr"/>
      <c r="I29" s="77" t="inlineStr"/>
    </row>
    <row r="30" ht="18" customHeight="1">
      <c r="A30" s="75" t="inlineStr"/>
      <c r="B30" s="22" t="inlineStr">
        <is>
          <t>Kindle</t>
        </is>
      </c>
      <c r="C30" s="23" t="n">
        <v>24</v>
      </c>
      <c r="D30" s="22" t="inlineStr"/>
      <c r="F30" s="22" t="inlineStr"/>
      <c r="G30" s="75" t="inlineStr"/>
      <c r="H30" s="75" t="inlineStr"/>
      <c r="I30" s="22" t="inlineStr"/>
    </row>
    <row r="31" ht="18" customHeight="1">
      <c r="A31" s="76" t="inlineStr">
        <is>
          <t>NU</t>
        </is>
      </c>
      <c r="B31" s="77" t="inlineStr">
        <is>
          <t>GPT</t>
        </is>
      </c>
      <c r="C31" s="78" t="n">
        <v>130</v>
      </c>
      <c r="D31" s="77" t="inlineStr">
        <is>
          <t>DIA 02 — CRÉDITO (NU)</t>
        </is>
      </c>
    </row>
    <row r="32" ht="18" customHeight="1">
      <c r="A32" s="75" t="inlineStr">
        <is>
          <t>NU</t>
        </is>
      </c>
      <c r="B32" s="22" t="inlineStr">
        <is>
          <t>Copilot</t>
        </is>
      </c>
      <c r="C32" s="23" t="n">
        <v>109.9</v>
      </c>
      <c r="D32" s="22" t="inlineStr">
        <is>
          <t>DIA 04 — CRÉDITO (NU)</t>
        </is>
      </c>
    </row>
    <row r="33" ht="18" customHeight="1">
      <c r="A33" s="76" t="inlineStr">
        <is>
          <t>NU</t>
        </is>
      </c>
      <c r="B33" s="77" t="inlineStr">
        <is>
          <t>WORD</t>
        </is>
      </c>
      <c r="C33" s="78" t="n">
        <v>0</v>
      </c>
      <c r="D33" s="77" t="inlineStr">
        <is>
          <t>Anual — CRÉDITO (NU)</t>
        </is>
      </c>
    </row>
    <row r="34" ht="18" customHeight="1">
      <c r="A34" s="75" t="inlineStr">
        <is>
          <t>NU</t>
        </is>
      </c>
      <c r="B34" s="22" t="inlineStr">
        <is>
          <t>GDRIVE EWE</t>
        </is>
      </c>
      <c r="C34" s="23" t="n">
        <v>0</v>
      </c>
      <c r="D34" s="22" t="inlineStr">
        <is>
          <t>Ago/26 — CRÉDITO (NU)</t>
        </is>
      </c>
    </row>
    <row r="35" ht="18" customHeight="1">
      <c r="A35" s="76" t="inlineStr"/>
      <c r="B35" s="77" t="inlineStr">
        <is>
          <t>PDFVIEW</t>
        </is>
      </c>
      <c r="C35" s="78" t="n">
        <v>0</v>
      </c>
      <c r="D35" s="77" t="inlineStr">
        <is>
          <t>CRÉDITO (NU)</t>
        </is>
      </c>
    </row>
    <row r="36" ht="20" customHeight="1">
      <c r="A36" s="79" t="inlineStr">
        <is>
          <t>TOTAL ASSINATURAS</t>
        </is>
      </c>
      <c r="C36" s="24">
        <f>SUM(C24:C35)</f>
        <v/>
      </c>
      <c r="D36" s="3" t="n"/>
    </row>
    <row r="38" ht="22" customHeight="1">
      <c r="A38" s="80" t="inlineStr">
        <is>
          <t>CHEQUE ESPECIAL / DÍVIDAS FINANCEIRAS</t>
        </is>
      </c>
    </row>
    <row r="39" ht="22" customHeight="1">
      <c r="A39" s="35" t="inlineStr">
        <is>
          <t>BANCO</t>
        </is>
      </c>
      <c r="B39" s="35" t="inlineStr">
        <is>
          <t>LIMITE</t>
        </is>
      </c>
      <c r="C39" s="35" t="inlineStr">
        <is>
          <t>USADO</t>
        </is>
      </c>
      <c r="D39" s="35" t="inlineStr">
        <is>
          <t>JUROS MÊS</t>
        </is>
      </c>
      <c r="E39" s="35" t="inlineStr">
        <is>
          <t>TAXA % aa</t>
        </is>
      </c>
      <c r="F39" s="35" t="inlineStr">
        <is>
          <t>DIAS</t>
        </is>
      </c>
      <c r="G39" s="35" t="inlineStr">
        <is>
          <t>SITUAÇÃO</t>
        </is>
      </c>
    </row>
    <row r="40" ht="19" customHeight="1">
      <c r="A40" s="15" t="inlineStr">
        <is>
          <t>BB</t>
        </is>
      </c>
      <c r="B40" s="16" t="n"/>
      <c r="C40" s="16" t="n"/>
      <c r="D40" s="16" t="n"/>
      <c r="E40" s="81" t="n"/>
      <c r="F40" s="81" t="n"/>
      <c r="G40" s="81" t="n"/>
    </row>
    <row r="41" ht="19" customHeight="1">
      <c r="A41" s="55" t="inlineStr">
        <is>
          <t>Santander</t>
        </is>
      </c>
      <c r="B41" s="82" t="n"/>
      <c r="C41" s="82" t="n"/>
      <c r="D41" s="82" t="n"/>
      <c r="E41" s="83" t="n"/>
      <c r="F41" s="83" t="n"/>
      <c r="G41" s="83" t="n"/>
    </row>
    <row r="42" ht="19" customHeight="1">
      <c r="A42" s="15" t="inlineStr">
        <is>
          <t>Caixa</t>
        </is>
      </c>
      <c r="B42" s="16" t="n"/>
      <c r="C42" s="16" t="n"/>
      <c r="D42" s="16" t="n"/>
      <c r="E42" s="81" t="n"/>
      <c r="F42" s="81" t="n"/>
      <c r="G42" s="81" t="n"/>
    </row>
    <row r="43" ht="19" customHeight="1">
      <c r="A43" s="55" t="inlineStr">
        <is>
          <t>Itaú</t>
        </is>
      </c>
      <c r="B43" s="82" t="n"/>
      <c r="C43" s="82" t="n"/>
      <c r="D43" s="82" t="n"/>
      <c r="E43" s="83" t="n"/>
      <c r="F43" s="83" t="n"/>
      <c r="G43" s="83" t="n"/>
    </row>
    <row r="44" ht="19" customHeight="1">
      <c r="A44" s="15" t="inlineStr">
        <is>
          <t>Bradesco</t>
        </is>
      </c>
      <c r="B44" s="16" t="n"/>
      <c r="C44" s="16" t="n"/>
      <c r="D44" s="16" t="n"/>
      <c r="E44" s="81" t="n"/>
      <c r="F44" s="81" t="n"/>
      <c r="G44" s="81" t="n"/>
    </row>
    <row r="45" ht="20" customHeight="1">
      <c r="A45" s="67" t="inlineStr">
        <is>
          <t>TOTAL CHEQUE ESPECIAL</t>
        </is>
      </c>
      <c r="C45" s="21">
        <f>SUM(C40:C44)</f>
        <v/>
      </c>
      <c r="D45" s="21">
        <f>SUM(D40:D44)</f>
        <v/>
      </c>
      <c r="E45" s="84" t="n"/>
      <c r="F45" s="84" t="n"/>
      <c r="G45" s="84" t="n"/>
    </row>
    <row r="47" ht="28" customHeight="1">
      <c r="A47" s="28" t="inlineStr">
        <is>
          <t xml:space="preserve">  ══  RESULTADO DO MÊS  ══</t>
        </is>
      </c>
    </row>
    <row r="48" ht="19" customHeight="1">
      <c r="A48" s="6" t="inlineStr">
        <is>
          <t>Receita Bruta</t>
        </is>
      </c>
      <c r="F48" s="7">
        <f>B20</f>
        <v/>
      </c>
    </row>
    <row r="49" ht="19" customHeight="1">
      <c r="A49" s="9" t="inlineStr">
        <is>
          <t>(−) Descontos em Folha</t>
        </is>
      </c>
      <c r="F49" s="10">
        <f>F20</f>
        <v/>
      </c>
    </row>
    <row r="50" ht="24" customHeight="1">
      <c r="A50" s="85">
        <f> Receita Líquida</f>
        <v/>
      </c>
      <c r="F50" s="14">
        <f>F48-F49</f>
        <v/>
      </c>
    </row>
    <row r="51" ht="19" customHeight="1">
      <c r="A51" s="15" t="inlineStr">
        <is>
          <t>(−) Despesas Fixas (CET)</t>
        </is>
      </c>
      <c r="F51" s="16">
        <f>L20</f>
        <v/>
      </c>
    </row>
    <row r="52" ht="19" customHeight="1">
      <c r="A52" s="18" t="inlineStr">
        <is>
          <t>(−) Cartões — Valor Pago</t>
        </is>
      </c>
      <c r="F52" s="19">
        <f>Q20</f>
        <v/>
      </c>
    </row>
    <row r="53" ht="19" customHeight="1">
      <c r="A53" s="18" t="inlineStr">
        <is>
          <t>(−) Juros dos Cartões</t>
        </is>
      </c>
      <c r="F53" s="19">
        <f>S20</f>
        <v/>
      </c>
    </row>
    <row r="54" ht="19" customHeight="1">
      <c r="A54" s="15" t="inlineStr">
        <is>
          <t>(−) Juros Cheque Especial</t>
        </is>
      </c>
      <c r="F54" s="16">
        <f>D45</f>
        <v/>
      </c>
    </row>
    <row r="55" ht="19" customHeight="1">
      <c r="A55" s="22" t="inlineStr">
        <is>
          <t>(−) Assinaturas Online</t>
        </is>
      </c>
      <c r="F55" s="23">
        <f>C36</f>
        <v/>
      </c>
    </row>
    <row r="56" ht="24" customHeight="1">
      <c r="A56" s="86">
        <f> SALDO REAL DO MÊS</f>
        <v/>
      </c>
      <c r="F56" s="27">
        <f>F50-F51-F52-F53-F54-F55</f>
        <v/>
      </c>
    </row>
    <row r="57" ht="19" customHeight="1">
      <c r="A57" s="15" t="inlineStr">
        <is>
          <t>⚠  Nova Dívida (cartões não pagos)</t>
        </is>
      </c>
      <c r="F57" s="16">
        <f>R20</f>
        <v/>
      </c>
    </row>
    <row r="59" ht="22" customHeight="1">
      <c r="A59" s="73" t="inlineStr">
        <is>
          <t>CONTAS E SALDOS</t>
        </is>
      </c>
    </row>
    <row r="60" ht="18" customHeight="1">
      <c r="A60" s="74" t="inlineStr">
        <is>
          <t>BANCO / CARTEIRA</t>
        </is>
      </c>
      <c r="B60" s="74" t="inlineStr">
        <is>
          <t>SALDO (R$)</t>
        </is>
      </c>
      <c r="C60" s="74" t="inlineStr">
        <is>
          <t>OBS</t>
        </is>
      </c>
    </row>
    <row r="61" ht="18" customHeight="1">
      <c r="A61" s="22" t="inlineStr">
        <is>
          <t>Saldo CC BB</t>
        </is>
      </c>
      <c r="B61" s="23" t="n"/>
      <c r="C61" s="87" t="n"/>
    </row>
    <row r="62" ht="18" customHeight="1">
      <c r="A62" s="77" t="inlineStr">
        <is>
          <t>Santander</t>
        </is>
      </c>
      <c r="B62" s="78" t="n"/>
      <c r="C62" s="88" t="n"/>
    </row>
    <row r="63" ht="18" customHeight="1">
      <c r="A63" s="22" t="inlineStr">
        <is>
          <t>Caixa</t>
        </is>
      </c>
      <c r="B63" s="23" t="n"/>
      <c r="C63" s="87" t="n"/>
    </row>
    <row r="64" ht="18" customHeight="1">
      <c r="A64" s="77" t="inlineStr">
        <is>
          <t>Bipa</t>
        </is>
      </c>
      <c r="B64" s="78" t="n"/>
      <c r="C64" s="88" t="n"/>
    </row>
    <row r="65" ht="18" customHeight="1">
      <c r="A65" s="22" t="inlineStr">
        <is>
          <t>Nubank</t>
        </is>
      </c>
      <c r="B65" s="23" t="n"/>
      <c r="C65" s="87" t="n"/>
    </row>
    <row r="66" ht="18" customHeight="1">
      <c r="A66" s="77" t="inlineStr">
        <is>
          <t>Itaú</t>
        </is>
      </c>
      <c r="B66" s="78" t="n"/>
      <c r="C66" s="88" t="n"/>
    </row>
    <row r="67" ht="18" customHeight="1">
      <c r="A67" s="22" t="inlineStr">
        <is>
          <t>MP</t>
        </is>
      </c>
      <c r="B67" s="23" t="n"/>
      <c r="C67" s="87" t="n"/>
    </row>
    <row r="68" ht="18" customHeight="1">
      <c r="A68" s="77" t="inlineStr">
        <is>
          <t>KuCoin</t>
        </is>
      </c>
      <c r="B68" s="78" t="n"/>
      <c r="C68" s="88" t="n"/>
    </row>
    <row r="69" ht="18" customHeight="1">
      <c r="A69" s="22" t="inlineStr">
        <is>
          <t>Ton</t>
        </is>
      </c>
      <c r="B69" s="23" t="n"/>
      <c r="C69" s="87" t="n"/>
    </row>
    <row r="70" ht="18" customHeight="1">
      <c r="A70" s="77" t="inlineStr">
        <is>
          <t>Picpay</t>
        </is>
      </c>
      <c r="B70" s="78" t="n"/>
      <c r="C70" s="88" t="n"/>
    </row>
    <row r="71" ht="18" customHeight="1">
      <c r="A71" s="22" t="inlineStr">
        <is>
          <t>Recargapay</t>
        </is>
      </c>
      <c r="B71" s="23" t="n"/>
      <c r="C71" s="87" t="n"/>
    </row>
    <row r="72" ht="18" customHeight="1">
      <c r="A72" s="77" t="inlineStr">
        <is>
          <t>Infinitepay</t>
        </is>
      </c>
      <c r="B72" s="78" t="n"/>
      <c r="C72" s="88" t="n"/>
    </row>
    <row r="73" ht="18" customHeight="1">
      <c r="A73" s="22" t="inlineStr">
        <is>
          <t>PagBank</t>
        </is>
      </c>
      <c r="B73" s="23" t="n"/>
      <c r="C73" s="87" t="n"/>
    </row>
    <row r="74" ht="18" customHeight="1">
      <c r="A74" s="77" t="inlineStr">
        <is>
          <t>C6 BANK</t>
        </is>
      </c>
      <c r="B74" s="78" t="n"/>
      <c r="C74" s="88" t="n"/>
    </row>
    <row r="75" ht="18" customHeight="1">
      <c r="A75" s="22" t="inlineStr">
        <is>
          <t>INTER</t>
        </is>
      </c>
      <c r="B75" s="23" t="n"/>
      <c r="C75" s="87" t="n"/>
    </row>
    <row r="76" ht="18" customHeight="1">
      <c r="A76" s="77" t="inlineStr">
        <is>
          <t>Bradesco</t>
        </is>
      </c>
      <c r="B76" s="78" t="n"/>
      <c r="C76" s="88" t="n"/>
    </row>
    <row r="77" ht="18" customHeight="1">
      <c r="A77" s="22" t="inlineStr">
        <is>
          <t>BTG</t>
        </is>
      </c>
      <c r="B77" s="23" t="n"/>
      <c r="C77" s="87" t="n"/>
    </row>
    <row r="78" ht="20" customHeight="1">
      <c r="A78" s="79" t="inlineStr">
        <is>
          <t>TOTAL EM CONTAS</t>
        </is>
      </c>
      <c r="B78" s="24">
        <f>SUM(B61:B77)</f>
        <v/>
      </c>
      <c r="C78" s="3" t="n"/>
    </row>
  </sheetData>
  <mergeCells count="23">
    <mergeCell ref="A48:E48"/>
    <mergeCell ref="A22:D22"/>
    <mergeCell ref="A45:B45"/>
    <mergeCell ref="A49:E49"/>
    <mergeCell ref="A51:E51"/>
    <mergeCell ref="A36:B36"/>
    <mergeCell ref="A38:G38"/>
    <mergeCell ref="A47:F47"/>
    <mergeCell ref="A54:E54"/>
    <mergeCell ref="A56:E56"/>
    <mergeCell ref="A55:E55"/>
    <mergeCell ref="A50:E50"/>
    <mergeCell ref="A57:E57"/>
    <mergeCell ref="A1:V1"/>
    <mergeCell ref="O21:V21"/>
    <mergeCell ref="A59:C59"/>
    <mergeCell ref="A53:E53"/>
    <mergeCell ref="I2:N2"/>
    <mergeCell ref="O2:V2"/>
    <mergeCell ref="A52:E52"/>
    <mergeCell ref="A2:D2"/>
    <mergeCell ref="E2:H2"/>
    <mergeCell ref="F22:I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3" customWidth="1" min="3" max="3"/>
    <col width="12" customWidth="1" min="4" max="4"/>
    <col width="24" customWidth="1" min="5" max="5"/>
    <col width="14" customWidth="1" min="6" max="6"/>
    <col width="13" customWidth="1" min="7" max="7"/>
    <col width="13" customWidth="1" min="8" max="8"/>
    <col width="24" customWidth="1" min="9" max="9"/>
    <col width="12" customWidth="1" min="10" max="10"/>
    <col width="9" customWidth="1" min="11" max="11"/>
    <col width="12" customWidth="1" min="12" max="12"/>
    <col width="13" customWidth="1" min="13" max="13"/>
    <col width="12" customWidth="1" min="14" max="14"/>
    <col width="16" customWidth="1" min="15" max="15"/>
    <col width="14" customWidth="1" min="16" max="16"/>
    <col width="14" customWidth="1" min="17" max="17"/>
    <col width="12" customWidth="1" min="18" max="18"/>
    <col width="9" customWidth="1" min="19" max="19"/>
    <col width="12" customWidth="1" min="20" max="20"/>
    <col width="13" customWidth="1" min="21" max="21"/>
    <col width="16" customWidth="1" min="22" max="22"/>
  </cols>
  <sheetData>
    <row r="1" ht="30" customHeight="1">
      <c r="A1" s="28" t="inlineStr">
        <is>
          <t>ORÇAMENTO  JUNHO  2026</t>
        </is>
      </c>
    </row>
    <row r="2" ht="22" customHeight="1">
      <c r="A2" s="29" t="inlineStr">
        <is>
          <t>▶  FONTES DE RECEITA</t>
        </is>
      </c>
      <c r="E2" s="30" t="inlineStr">
        <is>
          <t>▶  DESCONTOS EM FOLHA</t>
        </is>
      </c>
      <c r="I2" s="31" t="inlineStr">
        <is>
          <t>▶  DESPESAS FIXAS</t>
        </is>
      </c>
      <c r="O2" s="32" t="inlineStr">
        <is>
          <t>▶  DESPESAS COM CARTÕES</t>
        </is>
      </c>
    </row>
    <row r="3" ht="26" customHeight="1">
      <c r="A3" s="33" t="inlineStr">
        <is>
          <t>ORIGEM</t>
        </is>
      </c>
      <c r="B3" s="33" t="inlineStr">
        <is>
          <t>VALOR</t>
        </is>
      </c>
      <c r="C3" s="33" t="inlineStr">
        <is>
          <t>SITUAÇÃO</t>
        </is>
      </c>
      <c r="D3" s="33" t="inlineStr">
        <is>
          <t>DATA PG</t>
        </is>
      </c>
      <c r="E3" s="34" t="inlineStr">
        <is>
          <t>ORIGEM</t>
        </is>
      </c>
      <c r="F3" s="34" t="inlineStr">
        <is>
          <t>VALOR</t>
        </is>
      </c>
      <c r="G3" s="34" t="inlineStr">
        <is>
          <t>INFO</t>
        </is>
      </c>
      <c r="H3" s="34" t="inlineStr">
        <is>
          <t>OBS</t>
        </is>
      </c>
      <c r="I3" s="35" t="inlineStr">
        <is>
          <t>ORIGEM</t>
        </is>
      </c>
      <c r="J3" s="35" t="inlineStr">
        <is>
          <t>VALOR</t>
        </is>
      </c>
      <c r="K3" s="35" t="inlineStr">
        <is>
          <t>JUROS</t>
        </is>
      </c>
      <c r="L3" s="35" t="inlineStr">
        <is>
          <t>CET</t>
        </is>
      </c>
      <c r="M3" s="35" t="inlineStr">
        <is>
          <t>SITUAÇÃO</t>
        </is>
      </c>
      <c r="N3" s="35" t="inlineStr">
        <is>
          <t>DATA PG</t>
        </is>
      </c>
      <c r="O3" s="36" t="inlineStr">
        <is>
          <t>CARTÃO</t>
        </is>
      </c>
      <c r="P3" s="36" t="inlineStr">
        <is>
          <t>FATURA</t>
        </is>
      </c>
      <c r="Q3" s="36" t="inlineStr">
        <is>
          <t>PAGO</t>
        </is>
      </c>
      <c r="R3" s="36" t="inlineStr">
        <is>
          <t>SALDO¹</t>
        </is>
      </c>
      <c r="S3" s="36" t="inlineStr">
        <is>
          <t>JUROS</t>
        </is>
      </c>
      <c r="T3" s="36" t="inlineStr">
        <is>
          <t>CET</t>
        </is>
      </c>
      <c r="U3" s="36" t="inlineStr">
        <is>
          <t>SITUAÇÃO</t>
        </is>
      </c>
      <c r="V3" s="36" t="inlineStr">
        <is>
          <t>DATA PG</t>
        </is>
      </c>
    </row>
    <row r="4" ht="20" customHeight="1">
      <c r="A4" s="6" t="inlineStr">
        <is>
          <t>SALÁRIO</t>
        </is>
      </c>
      <c r="B4" s="37" t="n"/>
      <c r="C4" s="38" t="n"/>
      <c r="D4" s="39" t="n"/>
      <c r="E4" s="9" t="inlineStr">
        <is>
          <t>Consignado V.Nbk</t>
        </is>
      </c>
      <c r="F4" s="40" t="n"/>
      <c r="G4" s="41" t="n"/>
      <c r="H4" s="41" t="n"/>
      <c r="I4" s="15" t="inlineStr">
        <is>
          <t>HAPVIDA/SALMINHO</t>
        </is>
      </c>
      <c r="J4" s="42" t="n"/>
      <c r="K4" s="42" t="n"/>
      <c r="L4" s="42">
        <f>IF(J4="","",J4+IF(K4="",0,K4))</f>
        <v/>
      </c>
      <c r="M4" s="43" t="n"/>
      <c r="N4" s="44" t="n"/>
      <c r="O4" s="18" t="inlineStr">
        <is>
          <t>BB</t>
        </is>
      </c>
      <c r="P4" s="45" t="n"/>
      <c r="Q4" s="45" t="n"/>
      <c r="R4" s="45">
        <f>IF(P4="","",P4-IF(Q4="",0,Q4))</f>
        <v/>
      </c>
      <c r="S4" s="45" t="n"/>
      <c r="T4" s="45">
        <f>IF(Q4="","",Q4+IF(S4="",0,S4))</f>
        <v/>
      </c>
      <c r="U4" s="46" t="n"/>
      <c r="V4" s="47" t="n"/>
    </row>
    <row r="5" ht="20" customHeight="1">
      <c r="A5" s="48" t="inlineStr">
        <is>
          <t>Kalena OF/NET</t>
        </is>
      </c>
      <c r="B5" s="49" t="n"/>
      <c r="C5" s="50" t="n"/>
      <c r="D5" s="51" t="n"/>
      <c r="E5" s="52" t="inlineStr">
        <is>
          <t>Caixa Habitação</t>
        </is>
      </c>
      <c r="F5" s="53" t="n"/>
      <c r="G5" s="54" t="n"/>
      <c r="H5" s="54" t="n"/>
      <c r="I5" s="55" t="inlineStr">
        <is>
          <t>HAPVIDA/SABRINA</t>
        </is>
      </c>
      <c r="J5" s="56" t="n"/>
      <c r="K5" s="56" t="n"/>
      <c r="L5" s="56">
        <f>IF(J5="","",J5+IF(K5="",0,K5))</f>
        <v/>
      </c>
      <c r="M5" s="57" t="n"/>
      <c r="N5" s="58" t="n"/>
      <c r="O5" s="59" t="inlineStr">
        <is>
          <t>NU</t>
        </is>
      </c>
      <c r="P5" s="60" t="n"/>
      <c r="Q5" s="60" t="n"/>
      <c r="R5" s="60">
        <f>IF(P5="","",P5-IF(Q5="",0,Q5))</f>
        <v/>
      </c>
      <c r="S5" s="60" t="n"/>
      <c r="T5" s="60">
        <f>IF(Q5="","",Q5+IF(S5="",0,S5))</f>
        <v/>
      </c>
      <c r="U5" s="61" t="n"/>
      <c r="V5" s="62" t="n"/>
    </row>
    <row r="6" ht="20" customHeight="1">
      <c r="A6" s="6" t="inlineStr">
        <is>
          <t>ALUGUÉL</t>
        </is>
      </c>
      <c r="B6" s="37" t="n"/>
      <c r="C6" s="38" t="n"/>
      <c r="D6" s="39" t="n"/>
      <c r="E6" s="9" t="inlineStr">
        <is>
          <t>Consignado BB</t>
        </is>
      </c>
      <c r="F6" s="40" t="n"/>
      <c r="G6" s="41" t="n"/>
      <c r="H6" s="41" t="n"/>
      <c r="I6" s="15" t="inlineStr">
        <is>
          <t>HAP EWE E EFRA</t>
        </is>
      </c>
      <c r="J6" s="42" t="n"/>
      <c r="K6" s="42" t="n"/>
      <c r="L6" s="42">
        <f>IF(J6="","",J6+IF(K6="",0,K6))</f>
        <v/>
      </c>
      <c r="M6" s="43" t="n"/>
      <c r="N6" s="44" t="n"/>
      <c r="O6" s="18" t="inlineStr">
        <is>
          <t>Santander SX</t>
        </is>
      </c>
      <c r="P6" s="45" t="n"/>
      <c r="Q6" s="45" t="n"/>
      <c r="R6" s="45">
        <f>IF(P6="","",P6-IF(Q6="",0,Q6))</f>
        <v/>
      </c>
      <c r="S6" s="45" t="n"/>
      <c r="T6" s="45">
        <f>IF(Q6="","",Q6+IF(S6="",0,S6))</f>
        <v/>
      </c>
      <c r="U6" s="46" t="n"/>
      <c r="V6" s="47" t="n"/>
    </row>
    <row r="7" ht="20" customHeight="1">
      <c r="A7" s="48" t="inlineStr">
        <is>
          <t>Wagner</t>
        </is>
      </c>
      <c r="B7" s="49" t="n"/>
      <c r="C7" s="50" t="n"/>
      <c r="D7" s="51" t="n"/>
      <c r="E7" s="52" t="inlineStr">
        <is>
          <t>Emp.Sal.BB</t>
        </is>
      </c>
      <c r="F7" s="53" t="n"/>
      <c r="G7" s="54" t="n"/>
      <c r="H7" s="54" t="n"/>
      <c r="I7" s="55" t="inlineStr">
        <is>
          <t>CELPA ENERGIA</t>
        </is>
      </c>
      <c r="J7" s="56" t="n"/>
      <c r="K7" s="56" t="n"/>
      <c r="L7" s="56">
        <f>IF(J7="","",J7+IF(K7="",0,K7))</f>
        <v/>
      </c>
      <c r="M7" s="57" t="n"/>
      <c r="N7" s="58" t="n"/>
      <c r="O7" s="59" t="inlineStr">
        <is>
          <t>SELITE</t>
        </is>
      </c>
      <c r="P7" s="60" t="n"/>
      <c r="Q7" s="60" t="n"/>
      <c r="R7" s="60">
        <f>IF(P7="","",P7-IF(Q7="",0,Q7))</f>
        <v/>
      </c>
      <c r="S7" s="60" t="n"/>
      <c r="T7" s="60">
        <f>IF(Q7="","",Q7+IF(S7="",0,S7))</f>
        <v/>
      </c>
      <c r="U7" s="61" t="n"/>
      <c r="V7" s="62" t="n"/>
    </row>
    <row r="8" ht="20" customHeight="1">
      <c r="A8" s="6" t="inlineStr">
        <is>
          <t>Neto</t>
        </is>
      </c>
      <c r="B8" s="37" t="n"/>
      <c r="C8" s="38" t="n"/>
      <c r="D8" s="39" t="n"/>
      <c r="E8" s="9" t="inlineStr">
        <is>
          <t>AUX.TRANSP</t>
        </is>
      </c>
      <c r="F8" s="40" t="n"/>
      <c r="G8" s="41" t="n"/>
      <c r="H8" s="41" t="n"/>
      <c r="I8" s="15" t="inlineStr">
        <is>
          <t>SEATELECOM</t>
        </is>
      </c>
      <c r="J8" s="42" t="n"/>
      <c r="K8" s="42" t="n"/>
      <c r="L8" s="42">
        <f>IF(J8="","",J8+IF(K8="",0,K8))</f>
        <v/>
      </c>
      <c r="M8" s="43" t="n"/>
      <c r="N8" s="44" t="n"/>
      <c r="O8" s="18" t="inlineStr">
        <is>
          <t>Caixa Gold</t>
        </is>
      </c>
      <c r="P8" s="45" t="n"/>
      <c r="Q8" s="45" t="n"/>
      <c r="R8" s="45">
        <f>IF(P8="","",P8-IF(Q8="",0,Q8))</f>
        <v/>
      </c>
      <c r="S8" s="45" t="n"/>
      <c r="T8" s="45">
        <f>IF(Q8="","",Q8+IF(S8="",0,S8))</f>
        <v/>
      </c>
      <c r="U8" s="46" t="n"/>
      <c r="V8" s="47" t="n"/>
    </row>
    <row r="9" ht="20" customHeight="1">
      <c r="A9" s="48" t="inlineStr">
        <is>
          <t>UAB</t>
        </is>
      </c>
      <c r="B9" s="49" t="n"/>
      <c r="C9" s="50" t="n"/>
      <c r="D9" s="51" t="n"/>
      <c r="E9" s="52" t="inlineStr">
        <is>
          <t>CONTRI.SOCIAL</t>
        </is>
      </c>
      <c r="F9" s="53" t="n"/>
      <c r="G9" s="54" t="n"/>
      <c r="H9" s="54" t="n"/>
      <c r="I9" s="55" t="inlineStr">
        <is>
          <t>TX.ÁLAMO</t>
        </is>
      </c>
      <c r="J9" s="56" t="n"/>
      <c r="K9" s="56" t="n"/>
      <c r="L9" s="56">
        <f>IF(J9="","",J9+IF(K9="",0,K9))</f>
        <v/>
      </c>
      <c r="M9" s="57" t="n"/>
      <c r="N9" s="58" t="n"/>
      <c r="O9" s="59" t="inlineStr">
        <is>
          <t>Cartão MP</t>
        </is>
      </c>
      <c r="P9" s="60" t="n"/>
      <c r="Q9" s="60" t="n"/>
      <c r="R9" s="60">
        <f>IF(P9="","",P9-IF(Q9="",0,Q9))</f>
        <v/>
      </c>
      <c r="S9" s="60" t="n"/>
      <c r="T9" s="60">
        <f>IF(Q9="","",Q9+IF(S9="",0,S9))</f>
        <v/>
      </c>
      <c r="U9" s="61" t="n"/>
      <c r="V9" s="62" t="n"/>
    </row>
    <row r="10" ht="20" customHeight="1">
      <c r="A10" s="6" t="inlineStr"/>
      <c r="B10" s="37" t="n"/>
      <c r="C10" s="38" t="n"/>
      <c r="D10" s="39" t="n"/>
      <c r="E10" s="9" t="inlineStr">
        <is>
          <t>IRRF</t>
        </is>
      </c>
      <c r="F10" s="40" t="n"/>
      <c r="G10" s="41" t="n"/>
      <c r="H10" s="41" t="n"/>
      <c r="I10" s="15" t="inlineStr">
        <is>
          <t>CONTA TIM</t>
        </is>
      </c>
      <c r="J10" s="42" t="n"/>
      <c r="K10" s="42" t="n"/>
      <c r="L10" s="42">
        <f>IF(J10="","",J10+IF(K10="",0,K10))</f>
        <v/>
      </c>
      <c r="M10" s="43" t="n"/>
      <c r="N10" s="44" t="n"/>
      <c r="O10" s="18" t="inlineStr">
        <is>
          <t>PicPay Card</t>
        </is>
      </c>
      <c r="P10" s="45" t="n"/>
      <c r="Q10" s="45" t="n"/>
      <c r="R10" s="45">
        <f>IF(P10="","",P10-IF(Q10="",0,Q10))</f>
        <v/>
      </c>
      <c r="S10" s="45" t="n"/>
      <c r="T10" s="45">
        <f>IF(Q10="","",Q10+IF(S10="",0,S10))</f>
        <v/>
      </c>
      <c r="U10" s="46" t="n"/>
      <c r="V10" s="47" t="n"/>
    </row>
    <row r="11" ht="20" customHeight="1">
      <c r="A11" s="48" t="inlineStr"/>
      <c r="B11" s="49" t="n"/>
      <c r="C11" s="50" t="n"/>
      <c r="D11" s="51" t="n"/>
      <c r="E11" s="52" t="inlineStr">
        <is>
          <t>AUX.PRÉ.ESC</t>
        </is>
      </c>
      <c r="F11" s="53" t="n"/>
      <c r="G11" s="54" t="n"/>
      <c r="H11" s="54" t="n"/>
      <c r="I11" s="55" t="inlineStr">
        <is>
          <t>CONTA CLARO</t>
        </is>
      </c>
      <c r="J11" s="56" t="n"/>
      <c r="K11" s="56" t="n"/>
      <c r="L11" s="56">
        <f>IF(J11="","",J11+IF(K11="",0,K11))</f>
        <v/>
      </c>
      <c r="M11" s="57" t="n"/>
      <c r="N11" s="58" t="n"/>
      <c r="O11" s="59" t="inlineStr">
        <is>
          <t>Itaú Card</t>
        </is>
      </c>
      <c r="P11" s="60" t="n"/>
      <c r="Q11" s="60" t="n"/>
      <c r="R11" s="60">
        <f>IF(P11="","",P11-IF(Q11="",0,Q11))</f>
        <v/>
      </c>
      <c r="S11" s="60" t="n"/>
      <c r="T11" s="60">
        <f>IF(Q11="","",Q11+IF(S11="",0,S11))</f>
        <v/>
      </c>
      <c r="U11" s="61" t="n"/>
      <c r="V11" s="62" t="n"/>
    </row>
    <row r="12" ht="20" customHeight="1">
      <c r="A12" s="6" t="inlineStr"/>
      <c r="B12" s="37" t="n"/>
      <c r="C12" s="38" t="n"/>
      <c r="D12" s="39" t="n"/>
      <c r="E12" s="9" t="inlineStr">
        <is>
          <t>Dízimo</t>
        </is>
      </c>
      <c r="F12" s="40" t="n"/>
      <c r="G12" s="41" t="n"/>
      <c r="H12" s="41" t="n"/>
      <c r="I12" s="15" t="inlineStr">
        <is>
          <t>MAXÍDOMINI</t>
        </is>
      </c>
      <c r="J12" s="42" t="n"/>
      <c r="K12" s="42" t="n"/>
      <c r="L12" s="42">
        <f>IF(J12="","",J12+IF(K12="",0,K12))</f>
        <v/>
      </c>
      <c r="M12" s="43" t="n"/>
      <c r="N12" s="44" t="n"/>
      <c r="O12" s="18" t="inlineStr">
        <is>
          <t>CAIXA ELO</t>
        </is>
      </c>
      <c r="P12" s="45" t="n"/>
      <c r="Q12" s="45" t="n"/>
      <c r="R12" s="45">
        <f>IF(P12="","",P12-IF(Q12="",0,Q12))</f>
        <v/>
      </c>
      <c r="S12" s="45" t="n"/>
      <c r="T12" s="45">
        <f>IF(Q12="","",Q12+IF(S12="",0,S12))</f>
        <v/>
      </c>
      <c r="U12" s="46" t="n"/>
      <c r="V12" s="47" t="n"/>
    </row>
    <row r="13" ht="20" customHeight="1">
      <c r="A13" s="48" t="inlineStr"/>
      <c r="B13" s="49" t="n"/>
      <c r="C13" s="50" t="n"/>
      <c r="D13" s="51" t="n"/>
      <c r="E13" s="52" t="inlineStr"/>
      <c r="F13" s="53" t="n"/>
      <c r="G13" s="54" t="n"/>
      <c r="H13" s="54" t="n"/>
      <c r="I13" s="55" t="inlineStr">
        <is>
          <t>COSANPA/ÁGUA</t>
        </is>
      </c>
      <c r="J13" s="56" t="n"/>
      <c r="K13" s="56" t="n"/>
      <c r="L13" s="56">
        <f>IF(J13="","",J13+IF(K13="",0,K13))</f>
        <v/>
      </c>
      <c r="M13" s="57" t="n"/>
      <c r="N13" s="58" t="n"/>
      <c r="O13" s="59" t="inlineStr">
        <is>
          <t>Bradesco</t>
        </is>
      </c>
      <c r="P13" s="60" t="n"/>
      <c r="Q13" s="60" t="n"/>
      <c r="R13" s="60">
        <f>IF(P13="","",P13-IF(Q13="",0,Q13))</f>
        <v/>
      </c>
      <c r="S13" s="60" t="n"/>
      <c r="T13" s="60">
        <f>IF(Q13="","",Q13+IF(S13="",0,S13))</f>
        <v/>
      </c>
      <c r="U13" s="61" t="n"/>
      <c r="V13" s="62" t="n"/>
    </row>
    <row r="14" ht="20" customHeight="1">
      <c r="A14" s="6" t="inlineStr"/>
      <c r="B14" s="37" t="n"/>
      <c r="C14" s="38" t="n"/>
      <c r="D14" s="39" t="n"/>
      <c r="E14" s="9" t="inlineStr"/>
      <c r="F14" s="40" t="n"/>
      <c r="G14" s="41" t="n"/>
      <c r="H14" s="41" t="n"/>
      <c r="I14" s="15" t="inlineStr">
        <is>
          <t>ESCOLA SALMOM</t>
        </is>
      </c>
      <c r="J14" s="42" t="n"/>
      <c r="K14" s="42" t="n"/>
      <c r="L14" s="42">
        <f>IF(J14="","",J14+IF(K14="",0,K14))</f>
        <v/>
      </c>
      <c r="M14" s="43" t="n"/>
      <c r="N14" s="44" t="n"/>
      <c r="O14" s="18" t="inlineStr">
        <is>
          <t>RecargaPay</t>
        </is>
      </c>
      <c r="P14" s="45" t="n"/>
      <c r="Q14" s="45" t="n"/>
      <c r="R14" s="45">
        <f>IF(P14="","",P14-IF(Q14="",0,Q14))</f>
        <v/>
      </c>
      <c r="S14" s="45" t="n"/>
      <c r="T14" s="45">
        <f>IF(Q14="","",Q14+IF(S14="",0,S14))</f>
        <v/>
      </c>
      <c r="U14" s="46" t="n"/>
      <c r="V14" s="47" t="n"/>
    </row>
    <row r="15" ht="20" customHeight="1">
      <c r="A15" s="48" t="inlineStr"/>
      <c r="B15" s="49" t="n"/>
      <c r="C15" s="50" t="n"/>
      <c r="D15" s="51" t="n"/>
      <c r="E15" s="52" t="inlineStr"/>
      <c r="F15" s="53" t="n"/>
      <c r="G15" s="54" t="n"/>
      <c r="H15" s="54" t="n"/>
      <c r="I15" s="55" t="inlineStr">
        <is>
          <t>CORECON</t>
        </is>
      </c>
      <c r="J15" s="56" t="n"/>
      <c r="K15" s="56" t="n"/>
      <c r="L15" s="56">
        <f>IF(J15="","",J15+IF(K15="",0,K15))</f>
        <v/>
      </c>
      <c r="M15" s="57" t="n"/>
      <c r="N15" s="58" t="n"/>
      <c r="O15" s="59" t="inlineStr">
        <is>
          <t>BipaCard</t>
        </is>
      </c>
      <c r="P15" s="60" t="n"/>
      <c r="Q15" s="60" t="n"/>
      <c r="R15" s="60">
        <f>IF(P15="","",P15-IF(Q15="",0,Q15))</f>
        <v/>
      </c>
      <c r="S15" s="60" t="n"/>
      <c r="T15" s="60">
        <f>IF(Q15="","",Q15+IF(S15="",0,S15))</f>
        <v/>
      </c>
      <c r="U15" s="61" t="n"/>
      <c r="V15" s="62" t="n"/>
    </row>
    <row r="16" ht="20" customHeight="1">
      <c r="A16" s="6" t="inlineStr"/>
      <c r="B16" s="37" t="n"/>
      <c r="C16" s="38" t="n"/>
      <c r="D16" s="39" t="n"/>
      <c r="E16" s="9" t="inlineStr"/>
      <c r="F16" s="40" t="n"/>
      <c r="G16" s="41" t="n"/>
      <c r="H16" s="41" t="n"/>
      <c r="I16" s="15" t="inlineStr">
        <is>
          <t>Boticário</t>
        </is>
      </c>
      <c r="J16" s="42" t="n"/>
      <c r="K16" s="42" t="n"/>
      <c r="L16" s="42">
        <f>IF(J16="","",J16+IF(K16="",0,K16))</f>
        <v/>
      </c>
      <c r="M16" s="43" t="n"/>
      <c r="N16" s="44" t="n"/>
      <c r="O16" s="18" t="inlineStr">
        <is>
          <t>InfinitCard</t>
        </is>
      </c>
      <c r="P16" s="45" t="n"/>
      <c r="Q16" s="45" t="n"/>
      <c r="R16" s="45">
        <f>IF(P16="","",P16-IF(Q16="",0,Q16))</f>
        <v/>
      </c>
      <c r="S16" s="45" t="n"/>
      <c r="T16" s="45">
        <f>IF(Q16="","",Q16+IF(S16="",0,S16))</f>
        <v/>
      </c>
      <c r="U16" s="46" t="n"/>
      <c r="V16" s="47" t="n"/>
    </row>
    <row r="17" ht="20" customHeight="1">
      <c r="A17" s="48" t="inlineStr"/>
      <c r="B17" s="49" t="n"/>
      <c r="C17" s="50" t="n"/>
      <c r="D17" s="51" t="n"/>
      <c r="E17" s="52" t="inlineStr"/>
      <c r="F17" s="53" t="n"/>
      <c r="G17" s="54" t="n"/>
      <c r="H17" s="54" t="n"/>
      <c r="I17" s="55" t="inlineStr">
        <is>
          <t>Rodobens</t>
        </is>
      </c>
      <c r="J17" s="56" t="n"/>
      <c r="K17" s="56" t="n"/>
      <c r="L17" s="56">
        <f>IF(J17="","",J17+IF(K17="",0,K17))</f>
        <v/>
      </c>
      <c r="M17" s="57" t="n"/>
      <c r="N17" s="58" t="n"/>
      <c r="O17" s="59" t="inlineStr">
        <is>
          <t>Pagbank</t>
        </is>
      </c>
      <c r="P17" s="60" t="n"/>
      <c r="Q17" s="60" t="n"/>
      <c r="R17" s="60">
        <f>IF(P17="","",P17-IF(Q17="",0,Q17))</f>
        <v/>
      </c>
      <c r="S17" s="60" t="n"/>
      <c r="T17" s="60">
        <f>IF(Q17="","",Q17+IF(S17="",0,S17))</f>
        <v/>
      </c>
      <c r="U17" s="61" t="n"/>
      <c r="V17" s="62" t="n"/>
    </row>
    <row r="18" ht="20" customHeight="1">
      <c r="A18" s="6" t="inlineStr"/>
      <c r="B18" s="37" t="n"/>
      <c r="C18" s="38" t="n"/>
      <c r="D18" s="39" t="n"/>
      <c r="E18" s="9" t="inlineStr"/>
      <c r="F18" s="40" t="n"/>
      <c r="G18" s="41" t="n"/>
      <c r="H18" s="41" t="n"/>
      <c r="I18" s="15" t="inlineStr"/>
      <c r="J18" s="42" t="n"/>
      <c r="K18" s="42" t="n"/>
      <c r="L18" s="42">
        <f>IF(J18="","",J18+IF(K18="",0,K18))</f>
        <v/>
      </c>
      <c r="M18" s="43" t="n"/>
      <c r="N18" s="44" t="n"/>
      <c r="O18" s="18" t="inlineStr">
        <is>
          <t>TonCard</t>
        </is>
      </c>
      <c r="P18" s="45" t="n"/>
      <c r="Q18" s="45" t="n"/>
      <c r="R18" s="45">
        <f>IF(P18="","",P18-IF(Q18="",0,Q18))</f>
        <v/>
      </c>
      <c r="S18" s="45" t="n"/>
      <c r="T18" s="45">
        <f>IF(Q18="","",Q18+IF(S18="",0,S18))</f>
        <v/>
      </c>
      <c r="U18" s="46" t="n"/>
      <c r="V18" s="47" t="n"/>
    </row>
    <row r="19" ht="20" customHeight="1">
      <c r="A19" s="48" t="inlineStr"/>
      <c r="B19" s="49" t="n"/>
      <c r="C19" s="50" t="n"/>
      <c r="D19" s="51" t="n"/>
      <c r="E19" s="52" t="inlineStr"/>
      <c r="F19" s="53" t="n"/>
      <c r="G19" s="54" t="n"/>
      <c r="H19" s="54" t="n"/>
      <c r="I19" s="55" t="inlineStr"/>
      <c r="J19" s="56" t="n"/>
      <c r="K19" s="56" t="n"/>
      <c r="L19" s="56">
        <f>IF(J19="","",J19+IF(K19="",0,K19))</f>
        <v/>
      </c>
      <c r="M19" s="57" t="n"/>
      <c r="N19" s="58" t="n"/>
      <c r="O19" s="59" t="inlineStr"/>
      <c r="P19" s="60" t="n"/>
      <c r="Q19" s="60" t="n"/>
      <c r="R19" s="60">
        <f>IF(P19="","",P19-IF(Q19="",0,Q19))</f>
        <v/>
      </c>
      <c r="S19" s="60" t="n"/>
      <c r="T19" s="60">
        <f>IF(Q19="","",Q19+IF(S19="",0,S19))</f>
        <v/>
      </c>
      <c r="U19" s="61" t="n"/>
      <c r="V19" s="62" t="n"/>
    </row>
    <row r="20" ht="22" customHeight="1">
      <c r="A20" s="63" t="inlineStr">
        <is>
          <t>RECEITA TOTAL</t>
        </is>
      </c>
      <c r="B20" s="8">
        <f>SUM(B4:B19)</f>
        <v/>
      </c>
      <c r="C20" s="64" t="n"/>
      <c r="D20" s="64" t="n"/>
      <c r="E20" s="65" t="inlineStr">
        <is>
          <t>TOTAL DESCONTOS</t>
        </is>
      </c>
      <c r="F20" s="11">
        <f>SUM(F4:F19)</f>
        <v/>
      </c>
      <c r="G20" s="66" t="n"/>
      <c r="H20" s="66" t="n"/>
      <c r="I20" s="67" t="inlineStr">
        <is>
          <t>TOTAL FIXAS (CET)</t>
        </is>
      </c>
      <c r="J20" s="21">
        <f>SUM(J4:J19)</f>
        <v/>
      </c>
      <c r="K20" s="21">
        <f>SUM(K4:K19)</f>
        <v/>
      </c>
      <c r="L20" s="21">
        <f>SUM(L4:L19)</f>
        <v/>
      </c>
      <c r="M20" s="68" t="n"/>
      <c r="N20" s="68" t="n"/>
      <c r="O20" s="69" t="inlineStr">
        <is>
          <t>TOTAL CARTÕES</t>
        </is>
      </c>
      <c r="P20" s="70">
        <f>SUM(P4:P19)</f>
        <v/>
      </c>
      <c r="Q20" s="70">
        <f>SUM(Q4:Q19)</f>
        <v/>
      </c>
      <c r="R20" s="70">
        <f>SUM(R4:R19)</f>
        <v/>
      </c>
      <c r="S20" s="70">
        <f>SUM(S4:S19)</f>
        <v/>
      </c>
      <c r="T20" s="70">
        <f>SUM(T4:T19)</f>
        <v/>
      </c>
      <c r="U20" s="71" t="n"/>
      <c r="V20" s="71" t="n"/>
    </row>
    <row r="21">
      <c r="O21" s="72" t="inlineStr">
        <is>
          <t>¹ SALDO = Fatura − Pago  (valor não quitado = nova dívida do mês)</t>
        </is>
      </c>
    </row>
    <row r="22" ht="22" customHeight="1">
      <c r="A22" s="73" t="inlineStr">
        <is>
          <t>ASSINATURAS ONLINE</t>
        </is>
      </c>
      <c r="F22" s="73" t="inlineStr">
        <is>
          <t>NOTAS / EMPRÉSTIMOS / CONSIGNADOS</t>
        </is>
      </c>
    </row>
    <row r="23" ht="20" customHeight="1">
      <c r="A23" s="74" t="inlineStr">
        <is>
          <t>CARTÃO</t>
        </is>
      </c>
      <c r="B23" s="74" t="inlineStr">
        <is>
          <t>SERVIÇO</t>
        </is>
      </c>
      <c r="C23" s="74" t="inlineStr">
        <is>
          <t>VALOR</t>
        </is>
      </c>
      <c r="D23" s="74" t="inlineStr">
        <is>
          <t>DIA/SITUAÇÃO</t>
        </is>
      </c>
      <c r="F23" s="74" t="inlineStr">
        <is>
          <t>DESCRIÇÃO</t>
        </is>
      </c>
      <c r="G23" s="74" t="inlineStr">
        <is>
          <t>TAXA (am)</t>
        </is>
      </c>
      <c r="H23" s="74" t="inlineStr">
        <is>
          <t>TAXA (aa)</t>
        </is>
      </c>
      <c r="I23" s="74" t="inlineStr">
        <is>
          <t>OBS / SALDO</t>
        </is>
      </c>
    </row>
    <row r="24" ht="18" customHeight="1">
      <c r="A24" s="75" t="inlineStr">
        <is>
          <t>NU</t>
        </is>
      </c>
      <c r="B24" s="22" t="inlineStr">
        <is>
          <t>GDRIVE SABRI</t>
        </is>
      </c>
      <c r="C24" s="23" t="n">
        <v>49.9</v>
      </c>
      <c r="D24" s="22" t="inlineStr">
        <is>
          <t>DIA 04 — CRÉDITO (NU)</t>
        </is>
      </c>
      <c r="F24" s="22" t="inlineStr">
        <is>
          <t>Consignado Nubank 1</t>
        </is>
      </c>
      <c r="G24" s="75" t="inlineStr">
        <is>
          <t>1.30% am</t>
        </is>
      </c>
      <c r="H24" s="75" t="inlineStr">
        <is>
          <t>16.74% aa</t>
        </is>
      </c>
      <c r="I24" s="22" t="inlineStr">
        <is>
          <t>73x</t>
        </is>
      </c>
    </row>
    <row r="25" ht="18" customHeight="1">
      <c r="A25" s="76" t="inlineStr">
        <is>
          <t>NU</t>
        </is>
      </c>
      <c r="B25" s="77" t="inlineStr">
        <is>
          <t>CONTA TIM</t>
        </is>
      </c>
      <c r="C25" s="78" t="n">
        <v>42</v>
      </c>
      <c r="D25" s="77" t="inlineStr">
        <is>
          <t>DIA 15 — PG MANUAL</t>
        </is>
      </c>
      <c r="F25" s="77" t="inlineStr">
        <is>
          <t>Consignado Nubank 2</t>
        </is>
      </c>
      <c r="G25" s="76" t="inlineStr">
        <is>
          <t>1.57% am</t>
        </is>
      </c>
      <c r="H25" s="76" t="inlineStr">
        <is>
          <t>21.85% aa</t>
        </is>
      </c>
      <c r="I25" s="77" t="inlineStr">
        <is>
          <t>96x — saldo R$776,82</t>
        </is>
      </c>
    </row>
    <row r="26" ht="18" customHeight="1">
      <c r="A26" s="75" t="inlineStr">
        <is>
          <t>SANTANDER SX</t>
        </is>
      </c>
      <c r="B26" s="22" t="inlineStr">
        <is>
          <t>PLANO CLARO</t>
        </is>
      </c>
      <c r="C26" s="23" t="n">
        <v>73.73</v>
      </c>
      <c r="D26" s="22" t="inlineStr">
        <is>
          <t>DIA 09 — PG MANUAL</t>
        </is>
      </c>
      <c r="F26" s="22" t="inlineStr">
        <is>
          <t>Fin. Habitação CAIXA</t>
        </is>
      </c>
      <c r="G26" s="75" t="inlineStr">
        <is>
          <t>7% nominal</t>
        </is>
      </c>
      <c r="H26" s="75" t="inlineStr"/>
      <c r="I26" s="22" t="inlineStr"/>
    </row>
    <row r="27" ht="18" customHeight="1">
      <c r="A27" s="76" t="inlineStr">
        <is>
          <t>NU</t>
        </is>
      </c>
      <c r="B27" s="77" t="inlineStr">
        <is>
          <t>YOUTUBE ST</t>
        </is>
      </c>
      <c r="C27" s="78" t="n">
        <v>53.9</v>
      </c>
      <c r="D27" s="77" t="inlineStr">
        <is>
          <t>DIA 25 — CRÉDITO (NU)</t>
        </is>
      </c>
      <c r="F27" s="77" t="inlineStr">
        <is>
          <t>Empréstimo Sabrina</t>
        </is>
      </c>
      <c r="G27" s="76" t="inlineStr"/>
      <c r="H27" s="76" t="inlineStr"/>
      <c r="I27" s="77" t="inlineStr">
        <is>
          <t>saldo R$2.503,46</t>
        </is>
      </c>
    </row>
    <row r="28" ht="18" customHeight="1">
      <c r="A28" s="75" t="inlineStr">
        <is>
          <t>NU</t>
        </is>
      </c>
      <c r="B28" s="22" t="inlineStr">
        <is>
          <t>ICLOUD</t>
        </is>
      </c>
      <c r="C28" s="23" t="n">
        <v>5.9</v>
      </c>
      <c r="D28" s="22" t="inlineStr">
        <is>
          <t>DIA 01 — CRÉDITO (NU)</t>
        </is>
      </c>
      <c r="F28" s="22" t="inlineStr">
        <is>
          <t>Empréstimo Josy</t>
        </is>
      </c>
      <c r="G28" s="75" t="inlineStr"/>
      <c r="H28" s="75" t="inlineStr"/>
      <c r="I28" s="22" t="inlineStr"/>
    </row>
    <row r="29" ht="18" customHeight="1">
      <c r="A29" s="76" t="inlineStr"/>
      <c r="B29" s="77" t="inlineStr">
        <is>
          <t>Serasa</t>
        </is>
      </c>
      <c r="C29" s="78" t="n">
        <v>23.9</v>
      </c>
      <c r="D29" s="77" t="inlineStr">
        <is>
          <t xml:space="preserve">DIA 17 — </t>
        </is>
      </c>
      <c r="F29" s="77" t="inlineStr"/>
      <c r="G29" s="76" t="inlineStr"/>
      <c r="H29" s="76" t="inlineStr"/>
      <c r="I29" s="77" t="inlineStr"/>
    </row>
    <row r="30" ht="18" customHeight="1">
      <c r="A30" s="75" t="inlineStr"/>
      <c r="B30" s="22" t="inlineStr">
        <is>
          <t>Kindle</t>
        </is>
      </c>
      <c r="C30" s="23" t="n">
        <v>24</v>
      </c>
      <c r="D30" s="22" t="inlineStr"/>
      <c r="F30" s="22" t="inlineStr"/>
      <c r="G30" s="75" t="inlineStr"/>
      <c r="H30" s="75" t="inlineStr"/>
      <c r="I30" s="22" t="inlineStr"/>
    </row>
    <row r="31" ht="18" customHeight="1">
      <c r="A31" s="76" t="inlineStr">
        <is>
          <t>NU</t>
        </is>
      </c>
      <c r="B31" s="77" t="inlineStr">
        <is>
          <t>GPT</t>
        </is>
      </c>
      <c r="C31" s="78" t="n">
        <v>130</v>
      </c>
      <c r="D31" s="77" t="inlineStr">
        <is>
          <t>DIA 02 — CRÉDITO (NU)</t>
        </is>
      </c>
    </row>
    <row r="32" ht="18" customHeight="1">
      <c r="A32" s="75" t="inlineStr">
        <is>
          <t>NU</t>
        </is>
      </c>
      <c r="B32" s="22" t="inlineStr">
        <is>
          <t>Copilot</t>
        </is>
      </c>
      <c r="C32" s="23" t="n">
        <v>109.9</v>
      </c>
      <c r="D32" s="22" t="inlineStr">
        <is>
          <t>DIA 04 — CRÉDITO (NU)</t>
        </is>
      </c>
    </row>
    <row r="33" ht="18" customHeight="1">
      <c r="A33" s="76" t="inlineStr">
        <is>
          <t>NU</t>
        </is>
      </c>
      <c r="B33" s="77" t="inlineStr">
        <is>
          <t>WORD</t>
        </is>
      </c>
      <c r="C33" s="78" t="n">
        <v>0</v>
      </c>
      <c r="D33" s="77" t="inlineStr">
        <is>
          <t>Anual — CRÉDITO (NU)</t>
        </is>
      </c>
    </row>
    <row r="34" ht="18" customHeight="1">
      <c r="A34" s="75" t="inlineStr">
        <is>
          <t>NU</t>
        </is>
      </c>
      <c r="B34" s="22" t="inlineStr">
        <is>
          <t>GDRIVE EWE</t>
        </is>
      </c>
      <c r="C34" s="23" t="n">
        <v>0</v>
      </c>
      <c r="D34" s="22" t="inlineStr">
        <is>
          <t>Ago/26 — CRÉDITO (NU)</t>
        </is>
      </c>
    </row>
    <row r="35" ht="18" customHeight="1">
      <c r="A35" s="76" t="inlineStr"/>
      <c r="B35" s="77" t="inlineStr">
        <is>
          <t>PDFVIEW</t>
        </is>
      </c>
      <c r="C35" s="78" t="n">
        <v>0</v>
      </c>
      <c r="D35" s="77" t="inlineStr">
        <is>
          <t>CRÉDITO (NU)</t>
        </is>
      </c>
    </row>
    <row r="36" ht="20" customHeight="1">
      <c r="A36" s="79" t="inlineStr">
        <is>
          <t>TOTAL ASSINATURAS</t>
        </is>
      </c>
      <c r="C36" s="24">
        <f>SUM(C24:C35)</f>
        <v/>
      </c>
      <c r="D36" s="3" t="n"/>
    </row>
    <row r="38" ht="22" customHeight="1">
      <c r="A38" s="80" t="inlineStr">
        <is>
          <t>CHEQUE ESPECIAL / DÍVIDAS FINANCEIRAS</t>
        </is>
      </c>
    </row>
    <row r="39" ht="22" customHeight="1">
      <c r="A39" s="35" t="inlineStr">
        <is>
          <t>BANCO</t>
        </is>
      </c>
      <c r="B39" s="35" t="inlineStr">
        <is>
          <t>LIMITE</t>
        </is>
      </c>
      <c r="C39" s="35" t="inlineStr">
        <is>
          <t>USADO</t>
        </is>
      </c>
      <c r="D39" s="35" t="inlineStr">
        <is>
          <t>JUROS MÊS</t>
        </is>
      </c>
      <c r="E39" s="35" t="inlineStr">
        <is>
          <t>TAXA % aa</t>
        </is>
      </c>
      <c r="F39" s="35" t="inlineStr">
        <is>
          <t>DIAS</t>
        </is>
      </c>
      <c r="G39" s="35" t="inlineStr">
        <is>
          <t>SITUAÇÃO</t>
        </is>
      </c>
    </row>
    <row r="40" ht="19" customHeight="1">
      <c r="A40" s="15" t="inlineStr">
        <is>
          <t>BB</t>
        </is>
      </c>
      <c r="B40" s="16" t="n"/>
      <c r="C40" s="16" t="n"/>
      <c r="D40" s="16" t="n"/>
      <c r="E40" s="81" t="n"/>
      <c r="F40" s="81" t="n"/>
      <c r="G40" s="81" t="n"/>
    </row>
    <row r="41" ht="19" customHeight="1">
      <c r="A41" s="55" t="inlineStr">
        <is>
          <t>Santander</t>
        </is>
      </c>
      <c r="B41" s="82" t="n"/>
      <c r="C41" s="82" t="n"/>
      <c r="D41" s="82" t="n"/>
      <c r="E41" s="83" t="n"/>
      <c r="F41" s="83" t="n"/>
      <c r="G41" s="83" t="n"/>
    </row>
    <row r="42" ht="19" customHeight="1">
      <c r="A42" s="15" t="inlineStr">
        <is>
          <t>Caixa</t>
        </is>
      </c>
      <c r="B42" s="16" t="n"/>
      <c r="C42" s="16" t="n"/>
      <c r="D42" s="16" t="n"/>
      <c r="E42" s="81" t="n"/>
      <c r="F42" s="81" t="n"/>
      <c r="G42" s="81" t="n"/>
    </row>
    <row r="43" ht="19" customHeight="1">
      <c r="A43" s="55" t="inlineStr">
        <is>
          <t>Itaú</t>
        </is>
      </c>
      <c r="B43" s="82" t="n"/>
      <c r="C43" s="82" t="n"/>
      <c r="D43" s="82" t="n"/>
      <c r="E43" s="83" t="n"/>
      <c r="F43" s="83" t="n"/>
      <c r="G43" s="83" t="n"/>
    </row>
    <row r="44" ht="19" customHeight="1">
      <c r="A44" s="15" t="inlineStr">
        <is>
          <t>Bradesco</t>
        </is>
      </c>
      <c r="B44" s="16" t="n"/>
      <c r="C44" s="16" t="n"/>
      <c r="D44" s="16" t="n"/>
      <c r="E44" s="81" t="n"/>
      <c r="F44" s="81" t="n"/>
      <c r="G44" s="81" t="n"/>
    </row>
    <row r="45" ht="20" customHeight="1">
      <c r="A45" s="67" t="inlineStr">
        <is>
          <t>TOTAL CHEQUE ESPECIAL</t>
        </is>
      </c>
      <c r="C45" s="21">
        <f>SUM(C40:C44)</f>
        <v/>
      </c>
      <c r="D45" s="21">
        <f>SUM(D40:D44)</f>
        <v/>
      </c>
      <c r="E45" s="84" t="n"/>
      <c r="F45" s="84" t="n"/>
      <c r="G45" s="84" t="n"/>
    </row>
    <row r="47" ht="28" customHeight="1">
      <c r="A47" s="28" t="inlineStr">
        <is>
          <t xml:space="preserve">  ══  RESULTADO DO MÊS  ══</t>
        </is>
      </c>
    </row>
    <row r="48" ht="19" customHeight="1">
      <c r="A48" s="6" t="inlineStr">
        <is>
          <t>Receita Bruta</t>
        </is>
      </c>
      <c r="F48" s="7">
        <f>B20</f>
        <v/>
      </c>
    </row>
    <row r="49" ht="19" customHeight="1">
      <c r="A49" s="9" t="inlineStr">
        <is>
          <t>(−) Descontos em Folha</t>
        </is>
      </c>
      <c r="F49" s="10">
        <f>F20</f>
        <v/>
      </c>
    </row>
    <row r="50" ht="24" customHeight="1">
      <c r="A50" s="85">
        <f> Receita Líquida</f>
        <v/>
      </c>
      <c r="F50" s="14">
        <f>F48-F49</f>
        <v/>
      </c>
    </row>
    <row r="51" ht="19" customHeight="1">
      <c r="A51" s="15" t="inlineStr">
        <is>
          <t>(−) Despesas Fixas (CET)</t>
        </is>
      </c>
      <c r="F51" s="16">
        <f>L20</f>
        <v/>
      </c>
    </row>
    <row r="52" ht="19" customHeight="1">
      <c r="A52" s="18" t="inlineStr">
        <is>
          <t>(−) Cartões — Valor Pago</t>
        </is>
      </c>
      <c r="F52" s="19">
        <f>Q20</f>
        <v/>
      </c>
    </row>
    <row r="53" ht="19" customHeight="1">
      <c r="A53" s="18" t="inlineStr">
        <is>
          <t>(−) Juros dos Cartões</t>
        </is>
      </c>
      <c r="F53" s="19">
        <f>S20</f>
        <v/>
      </c>
    </row>
    <row r="54" ht="19" customHeight="1">
      <c r="A54" s="15" t="inlineStr">
        <is>
          <t>(−) Juros Cheque Especial</t>
        </is>
      </c>
      <c r="F54" s="16">
        <f>D45</f>
        <v/>
      </c>
    </row>
    <row r="55" ht="19" customHeight="1">
      <c r="A55" s="22" t="inlineStr">
        <is>
          <t>(−) Assinaturas Online</t>
        </is>
      </c>
      <c r="F55" s="23">
        <f>C36</f>
        <v/>
      </c>
    </row>
    <row r="56" ht="24" customHeight="1">
      <c r="A56" s="86">
        <f> SALDO REAL DO MÊS</f>
        <v/>
      </c>
      <c r="F56" s="27">
        <f>F50-F51-F52-F53-F54-F55</f>
        <v/>
      </c>
    </row>
    <row r="57" ht="19" customHeight="1">
      <c r="A57" s="15" t="inlineStr">
        <is>
          <t>⚠  Nova Dívida (cartões não pagos)</t>
        </is>
      </c>
      <c r="F57" s="16">
        <f>R20</f>
        <v/>
      </c>
    </row>
    <row r="59" ht="22" customHeight="1">
      <c r="A59" s="73" t="inlineStr">
        <is>
          <t>CONTAS E SALDOS</t>
        </is>
      </c>
    </row>
    <row r="60" ht="18" customHeight="1">
      <c r="A60" s="74" t="inlineStr">
        <is>
          <t>BANCO / CARTEIRA</t>
        </is>
      </c>
      <c r="B60" s="74" t="inlineStr">
        <is>
          <t>SALDO (R$)</t>
        </is>
      </c>
      <c r="C60" s="74" t="inlineStr">
        <is>
          <t>OBS</t>
        </is>
      </c>
    </row>
    <row r="61" ht="18" customHeight="1">
      <c r="A61" s="22" t="inlineStr">
        <is>
          <t>Saldo CC BB</t>
        </is>
      </c>
      <c r="B61" s="23" t="n"/>
      <c r="C61" s="87" t="n"/>
    </row>
    <row r="62" ht="18" customHeight="1">
      <c r="A62" s="77" t="inlineStr">
        <is>
          <t>Santander</t>
        </is>
      </c>
      <c r="B62" s="78" t="n"/>
      <c r="C62" s="88" t="n"/>
    </row>
    <row r="63" ht="18" customHeight="1">
      <c r="A63" s="22" t="inlineStr">
        <is>
          <t>Caixa</t>
        </is>
      </c>
      <c r="B63" s="23" t="n"/>
      <c r="C63" s="87" t="n"/>
    </row>
    <row r="64" ht="18" customHeight="1">
      <c r="A64" s="77" t="inlineStr">
        <is>
          <t>Bipa</t>
        </is>
      </c>
      <c r="B64" s="78" t="n"/>
      <c r="C64" s="88" t="n"/>
    </row>
    <row r="65" ht="18" customHeight="1">
      <c r="A65" s="22" t="inlineStr">
        <is>
          <t>Nubank</t>
        </is>
      </c>
      <c r="B65" s="23" t="n"/>
      <c r="C65" s="87" t="n"/>
    </row>
    <row r="66" ht="18" customHeight="1">
      <c r="A66" s="77" t="inlineStr">
        <is>
          <t>Itaú</t>
        </is>
      </c>
      <c r="B66" s="78" t="n"/>
      <c r="C66" s="88" t="n"/>
    </row>
    <row r="67" ht="18" customHeight="1">
      <c r="A67" s="22" t="inlineStr">
        <is>
          <t>MP</t>
        </is>
      </c>
      <c r="B67" s="23" t="n"/>
      <c r="C67" s="87" t="n"/>
    </row>
    <row r="68" ht="18" customHeight="1">
      <c r="A68" s="77" t="inlineStr">
        <is>
          <t>KuCoin</t>
        </is>
      </c>
      <c r="B68" s="78" t="n"/>
      <c r="C68" s="88" t="n"/>
    </row>
    <row r="69" ht="18" customHeight="1">
      <c r="A69" s="22" t="inlineStr">
        <is>
          <t>Ton</t>
        </is>
      </c>
      <c r="B69" s="23" t="n"/>
      <c r="C69" s="87" t="n"/>
    </row>
    <row r="70" ht="18" customHeight="1">
      <c r="A70" s="77" t="inlineStr">
        <is>
          <t>Picpay</t>
        </is>
      </c>
      <c r="B70" s="78" t="n"/>
      <c r="C70" s="88" t="n"/>
    </row>
    <row r="71" ht="18" customHeight="1">
      <c r="A71" s="22" t="inlineStr">
        <is>
          <t>Recargapay</t>
        </is>
      </c>
      <c r="B71" s="23" t="n"/>
      <c r="C71" s="87" t="n"/>
    </row>
    <row r="72" ht="18" customHeight="1">
      <c r="A72" s="77" t="inlineStr">
        <is>
          <t>Infinitepay</t>
        </is>
      </c>
      <c r="B72" s="78" t="n"/>
      <c r="C72" s="88" t="n"/>
    </row>
    <row r="73" ht="18" customHeight="1">
      <c r="A73" s="22" t="inlineStr">
        <is>
          <t>PagBank</t>
        </is>
      </c>
      <c r="B73" s="23" t="n"/>
      <c r="C73" s="87" t="n"/>
    </row>
    <row r="74" ht="18" customHeight="1">
      <c r="A74" s="77" t="inlineStr">
        <is>
          <t>C6 BANK</t>
        </is>
      </c>
      <c r="B74" s="78" t="n"/>
      <c r="C74" s="88" t="n"/>
    </row>
    <row r="75" ht="18" customHeight="1">
      <c r="A75" s="22" t="inlineStr">
        <is>
          <t>INTER</t>
        </is>
      </c>
      <c r="B75" s="23" t="n"/>
      <c r="C75" s="87" t="n"/>
    </row>
    <row r="76" ht="18" customHeight="1">
      <c r="A76" s="77" t="inlineStr">
        <is>
          <t>Bradesco</t>
        </is>
      </c>
      <c r="B76" s="78" t="n"/>
      <c r="C76" s="88" t="n"/>
    </row>
    <row r="77" ht="18" customHeight="1">
      <c r="A77" s="22" t="inlineStr">
        <is>
          <t>BTG</t>
        </is>
      </c>
      <c r="B77" s="23" t="n"/>
      <c r="C77" s="87" t="n"/>
    </row>
    <row r="78" ht="20" customHeight="1">
      <c r="A78" s="79" t="inlineStr">
        <is>
          <t>TOTAL EM CONTAS</t>
        </is>
      </c>
      <c r="B78" s="24">
        <f>SUM(B61:B77)</f>
        <v/>
      </c>
      <c r="C78" s="3" t="n"/>
    </row>
  </sheetData>
  <mergeCells count="23">
    <mergeCell ref="A48:E48"/>
    <mergeCell ref="A22:D22"/>
    <mergeCell ref="A45:B45"/>
    <mergeCell ref="A49:E49"/>
    <mergeCell ref="A51:E51"/>
    <mergeCell ref="A36:B36"/>
    <mergeCell ref="A38:G38"/>
    <mergeCell ref="A47:F47"/>
    <mergeCell ref="A54:E54"/>
    <mergeCell ref="A56:E56"/>
    <mergeCell ref="A55:E55"/>
    <mergeCell ref="A50:E50"/>
    <mergeCell ref="A57:E57"/>
    <mergeCell ref="A1:V1"/>
    <mergeCell ref="O21:V21"/>
    <mergeCell ref="A59:C59"/>
    <mergeCell ref="A53:E53"/>
    <mergeCell ref="I2:N2"/>
    <mergeCell ref="O2:V2"/>
    <mergeCell ref="A52:E52"/>
    <mergeCell ref="A2:D2"/>
    <mergeCell ref="E2:H2"/>
    <mergeCell ref="F22:I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3" customWidth="1" min="3" max="3"/>
    <col width="12" customWidth="1" min="4" max="4"/>
    <col width="24" customWidth="1" min="5" max="5"/>
    <col width="14" customWidth="1" min="6" max="6"/>
    <col width="13" customWidth="1" min="7" max="7"/>
    <col width="13" customWidth="1" min="8" max="8"/>
    <col width="24" customWidth="1" min="9" max="9"/>
    <col width="12" customWidth="1" min="10" max="10"/>
    <col width="9" customWidth="1" min="11" max="11"/>
    <col width="12" customWidth="1" min="12" max="12"/>
    <col width="13" customWidth="1" min="13" max="13"/>
    <col width="12" customWidth="1" min="14" max="14"/>
    <col width="16" customWidth="1" min="15" max="15"/>
    <col width="14" customWidth="1" min="16" max="16"/>
    <col width="14" customWidth="1" min="17" max="17"/>
    <col width="12" customWidth="1" min="18" max="18"/>
    <col width="9" customWidth="1" min="19" max="19"/>
    <col width="12" customWidth="1" min="20" max="20"/>
    <col width="13" customWidth="1" min="21" max="21"/>
    <col width="16" customWidth="1" min="22" max="22"/>
  </cols>
  <sheetData>
    <row r="1" ht="30" customHeight="1">
      <c r="A1" s="28" t="inlineStr">
        <is>
          <t>ORÇAMENTO  JULHO  2026</t>
        </is>
      </c>
    </row>
    <row r="2" ht="22" customHeight="1">
      <c r="A2" s="29" t="inlineStr">
        <is>
          <t>▶  FONTES DE RECEITA</t>
        </is>
      </c>
      <c r="E2" s="30" t="inlineStr">
        <is>
          <t>▶  DESCONTOS EM FOLHA</t>
        </is>
      </c>
      <c r="I2" s="31" t="inlineStr">
        <is>
          <t>▶  DESPESAS FIXAS</t>
        </is>
      </c>
      <c r="O2" s="32" t="inlineStr">
        <is>
          <t>▶  DESPESAS COM CARTÕES</t>
        </is>
      </c>
    </row>
    <row r="3" ht="26" customHeight="1">
      <c r="A3" s="33" t="inlineStr">
        <is>
          <t>ORIGEM</t>
        </is>
      </c>
      <c r="B3" s="33" t="inlineStr">
        <is>
          <t>VALOR</t>
        </is>
      </c>
      <c r="C3" s="33" t="inlineStr">
        <is>
          <t>SITUAÇÃO</t>
        </is>
      </c>
      <c r="D3" s="33" t="inlineStr">
        <is>
          <t>DATA PG</t>
        </is>
      </c>
      <c r="E3" s="34" t="inlineStr">
        <is>
          <t>ORIGEM</t>
        </is>
      </c>
      <c r="F3" s="34" t="inlineStr">
        <is>
          <t>VALOR</t>
        </is>
      </c>
      <c r="G3" s="34" t="inlineStr">
        <is>
          <t>INFO</t>
        </is>
      </c>
      <c r="H3" s="34" t="inlineStr">
        <is>
          <t>OBS</t>
        </is>
      </c>
      <c r="I3" s="35" t="inlineStr">
        <is>
          <t>ORIGEM</t>
        </is>
      </c>
      <c r="J3" s="35" t="inlineStr">
        <is>
          <t>VALOR</t>
        </is>
      </c>
      <c r="K3" s="35" t="inlineStr">
        <is>
          <t>JUROS</t>
        </is>
      </c>
      <c r="L3" s="35" t="inlineStr">
        <is>
          <t>CET</t>
        </is>
      </c>
      <c r="M3" s="35" t="inlineStr">
        <is>
          <t>SITUAÇÃO</t>
        </is>
      </c>
      <c r="N3" s="35" t="inlineStr">
        <is>
          <t>DATA PG</t>
        </is>
      </c>
      <c r="O3" s="36" t="inlineStr">
        <is>
          <t>CARTÃO</t>
        </is>
      </c>
      <c r="P3" s="36" t="inlineStr">
        <is>
          <t>FATURA</t>
        </is>
      </c>
      <c r="Q3" s="36" t="inlineStr">
        <is>
          <t>PAGO</t>
        </is>
      </c>
      <c r="R3" s="36" t="inlineStr">
        <is>
          <t>SALDO¹</t>
        </is>
      </c>
      <c r="S3" s="36" t="inlineStr">
        <is>
          <t>JUROS</t>
        </is>
      </c>
      <c r="T3" s="36" t="inlineStr">
        <is>
          <t>CET</t>
        </is>
      </c>
      <c r="U3" s="36" t="inlineStr">
        <is>
          <t>SITUAÇÃO</t>
        </is>
      </c>
      <c r="V3" s="36" t="inlineStr">
        <is>
          <t>DATA PG</t>
        </is>
      </c>
    </row>
    <row r="4" ht="20" customHeight="1">
      <c r="A4" s="6" t="inlineStr">
        <is>
          <t>SALÁRIO</t>
        </is>
      </c>
      <c r="B4" s="37" t="n"/>
      <c r="C4" s="38" t="n"/>
      <c r="D4" s="39" t="n"/>
      <c r="E4" s="9" t="inlineStr">
        <is>
          <t>Consignado V.Nbk</t>
        </is>
      </c>
      <c r="F4" s="40" t="n"/>
      <c r="G4" s="41" t="n"/>
      <c r="H4" s="41" t="n"/>
      <c r="I4" s="15" t="inlineStr">
        <is>
          <t>HAPVIDA/SALMINHO</t>
        </is>
      </c>
      <c r="J4" s="42" t="n"/>
      <c r="K4" s="42" t="n"/>
      <c r="L4" s="42">
        <f>IF(J4="","",J4+IF(K4="",0,K4))</f>
        <v/>
      </c>
      <c r="M4" s="43" t="n"/>
      <c r="N4" s="44" t="n"/>
      <c r="O4" s="18" t="inlineStr">
        <is>
          <t>BB</t>
        </is>
      </c>
      <c r="P4" s="45" t="n"/>
      <c r="Q4" s="45" t="n"/>
      <c r="R4" s="45">
        <f>IF(P4="","",P4-IF(Q4="",0,Q4))</f>
        <v/>
      </c>
      <c r="S4" s="45" t="n"/>
      <c r="T4" s="45">
        <f>IF(Q4="","",Q4+IF(S4="",0,S4))</f>
        <v/>
      </c>
      <c r="U4" s="46" t="n"/>
      <c r="V4" s="47" t="n"/>
    </row>
    <row r="5" ht="20" customHeight="1">
      <c r="A5" s="48" t="inlineStr">
        <is>
          <t>Kalena OF/NET</t>
        </is>
      </c>
      <c r="B5" s="49" t="n"/>
      <c r="C5" s="50" t="n"/>
      <c r="D5" s="51" t="n"/>
      <c r="E5" s="52" t="inlineStr">
        <is>
          <t>Caixa Habitação</t>
        </is>
      </c>
      <c r="F5" s="53" t="n"/>
      <c r="G5" s="54" t="n"/>
      <c r="H5" s="54" t="n"/>
      <c r="I5" s="55" t="inlineStr">
        <is>
          <t>HAPVIDA/SABRINA</t>
        </is>
      </c>
      <c r="J5" s="56" t="n"/>
      <c r="K5" s="56" t="n"/>
      <c r="L5" s="56">
        <f>IF(J5="","",J5+IF(K5="",0,K5))</f>
        <v/>
      </c>
      <c r="M5" s="57" t="n"/>
      <c r="N5" s="58" t="n"/>
      <c r="O5" s="59" t="inlineStr">
        <is>
          <t>NU</t>
        </is>
      </c>
      <c r="P5" s="60" t="n"/>
      <c r="Q5" s="60" t="n"/>
      <c r="R5" s="60">
        <f>IF(P5="","",P5-IF(Q5="",0,Q5))</f>
        <v/>
      </c>
      <c r="S5" s="60" t="n"/>
      <c r="T5" s="60">
        <f>IF(Q5="","",Q5+IF(S5="",0,S5))</f>
        <v/>
      </c>
      <c r="U5" s="61" t="n"/>
      <c r="V5" s="62" t="n"/>
    </row>
    <row r="6" ht="20" customHeight="1">
      <c r="A6" s="6" t="inlineStr">
        <is>
          <t>ALUGUÉL</t>
        </is>
      </c>
      <c r="B6" s="37" t="n"/>
      <c r="C6" s="38" t="n"/>
      <c r="D6" s="39" t="n"/>
      <c r="E6" s="9" t="inlineStr">
        <is>
          <t>Consignado BB</t>
        </is>
      </c>
      <c r="F6" s="40" t="n"/>
      <c r="G6" s="41" t="n"/>
      <c r="H6" s="41" t="n"/>
      <c r="I6" s="15" t="inlineStr">
        <is>
          <t>HAP EWE E EFRA</t>
        </is>
      </c>
      <c r="J6" s="42" t="n"/>
      <c r="K6" s="42" t="n"/>
      <c r="L6" s="42">
        <f>IF(J6="","",J6+IF(K6="",0,K6))</f>
        <v/>
      </c>
      <c r="M6" s="43" t="n"/>
      <c r="N6" s="44" t="n"/>
      <c r="O6" s="18" t="inlineStr">
        <is>
          <t>Santander SX</t>
        </is>
      </c>
      <c r="P6" s="45" t="n"/>
      <c r="Q6" s="45" t="n"/>
      <c r="R6" s="45">
        <f>IF(P6="","",P6-IF(Q6="",0,Q6))</f>
        <v/>
      </c>
      <c r="S6" s="45" t="n"/>
      <c r="T6" s="45">
        <f>IF(Q6="","",Q6+IF(S6="",0,S6))</f>
        <v/>
      </c>
      <c r="U6" s="46" t="n"/>
      <c r="V6" s="47" t="n"/>
    </row>
    <row r="7" ht="20" customHeight="1">
      <c r="A7" s="48" t="inlineStr">
        <is>
          <t>Wagner</t>
        </is>
      </c>
      <c r="B7" s="49" t="n"/>
      <c r="C7" s="50" t="n"/>
      <c r="D7" s="51" t="n"/>
      <c r="E7" s="52" t="inlineStr">
        <is>
          <t>Emp.Sal.BB</t>
        </is>
      </c>
      <c r="F7" s="53" t="n"/>
      <c r="G7" s="54" t="n"/>
      <c r="H7" s="54" t="n"/>
      <c r="I7" s="55" t="inlineStr">
        <is>
          <t>CELPA ENERGIA</t>
        </is>
      </c>
      <c r="J7" s="56" t="n"/>
      <c r="K7" s="56" t="n"/>
      <c r="L7" s="56">
        <f>IF(J7="","",J7+IF(K7="",0,K7))</f>
        <v/>
      </c>
      <c r="M7" s="57" t="n"/>
      <c r="N7" s="58" t="n"/>
      <c r="O7" s="59" t="inlineStr">
        <is>
          <t>SELITE</t>
        </is>
      </c>
      <c r="P7" s="60" t="n"/>
      <c r="Q7" s="60" t="n"/>
      <c r="R7" s="60">
        <f>IF(P7="","",P7-IF(Q7="",0,Q7))</f>
        <v/>
      </c>
      <c r="S7" s="60" t="n"/>
      <c r="T7" s="60">
        <f>IF(Q7="","",Q7+IF(S7="",0,S7))</f>
        <v/>
      </c>
      <c r="U7" s="61" t="n"/>
      <c r="V7" s="62" t="n"/>
    </row>
    <row r="8" ht="20" customHeight="1">
      <c r="A8" s="6" t="inlineStr">
        <is>
          <t>Neto</t>
        </is>
      </c>
      <c r="B8" s="37" t="n"/>
      <c r="C8" s="38" t="n"/>
      <c r="D8" s="39" t="n"/>
      <c r="E8" s="9" t="inlineStr">
        <is>
          <t>AUX.TRANSP</t>
        </is>
      </c>
      <c r="F8" s="40" t="n"/>
      <c r="G8" s="41" t="n"/>
      <c r="H8" s="41" t="n"/>
      <c r="I8" s="15" t="inlineStr">
        <is>
          <t>SEATELECOM</t>
        </is>
      </c>
      <c r="J8" s="42" t="n"/>
      <c r="K8" s="42" t="n"/>
      <c r="L8" s="42">
        <f>IF(J8="","",J8+IF(K8="",0,K8))</f>
        <v/>
      </c>
      <c r="M8" s="43" t="n"/>
      <c r="N8" s="44" t="n"/>
      <c r="O8" s="18" t="inlineStr">
        <is>
          <t>Caixa Gold</t>
        </is>
      </c>
      <c r="P8" s="45" t="n"/>
      <c r="Q8" s="45" t="n"/>
      <c r="R8" s="45">
        <f>IF(P8="","",P8-IF(Q8="",0,Q8))</f>
        <v/>
      </c>
      <c r="S8" s="45" t="n"/>
      <c r="T8" s="45">
        <f>IF(Q8="","",Q8+IF(S8="",0,S8))</f>
        <v/>
      </c>
      <c r="U8" s="46" t="n"/>
      <c r="V8" s="47" t="n"/>
    </row>
    <row r="9" ht="20" customHeight="1">
      <c r="A9" s="48" t="inlineStr">
        <is>
          <t>UAB</t>
        </is>
      </c>
      <c r="B9" s="49" t="n"/>
      <c r="C9" s="50" t="n"/>
      <c r="D9" s="51" t="n"/>
      <c r="E9" s="52" t="inlineStr">
        <is>
          <t>CONTRI.SOCIAL</t>
        </is>
      </c>
      <c r="F9" s="53" t="n"/>
      <c r="G9" s="54" t="n"/>
      <c r="H9" s="54" t="n"/>
      <c r="I9" s="55" t="inlineStr">
        <is>
          <t>TX.ÁLAMO</t>
        </is>
      </c>
      <c r="J9" s="56" t="n"/>
      <c r="K9" s="56" t="n"/>
      <c r="L9" s="56">
        <f>IF(J9="","",J9+IF(K9="",0,K9))</f>
        <v/>
      </c>
      <c r="M9" s="57" t="n"/>
      <c r="N9" s="58" t="n"/>
      <c r="O9" s="59" t="inlineStr">
        <is>
          <t>Cartão MP</t>
        </is>
      </c>
      <c r="P9" s="60" t="n"/>
      <c r="Q9" s="60" t="n"/>
      <c r="R9" s="60">
        <f>IF(P9="","",P9-IF(Q9="",0,Q9))</f>
        <v/>
      </c>
      <c r="S9" s="60" t="n"/>
      <c r="T9" s="60">
        <f>IF(Q9="","",Q9+IF(S9="",0,S9))</f>
        <v/>
      </c>
      <c r="U9" s="61" t="n"/>
      <c r="V9" s="62" t="n"/>
    </row>
    <row r="10" ht="20" customHeight="1">
      <c r="A10" s="6" t="inlineStr"/>
      <c r="B10" s="37" t="n"/>
      <c r="C10" s="38" t="n"/>
      <c r="D10" s="39" t="n"/>
      <c r="E10" s="9" t="inlineStr">
        <is>
          <t>IRRF</t>
        </is>
      </c>
      <c r="F10" s="40" t="n"/>
      <c r="G10" s="41" t="n"/>
      <c r="H10" s="41" t="n"/>
      <c r="I10" s="15" t="inlineStr">
        <is>
          <t>CONTA TIM</t>
        </is>
      </c>
      <c r="J10" s="42" t="n"/>
      <c r="K10" s="42" t="n"/>
      <c r="L10" s="42">
        <f>IF(J10="","",J10+IF(K10="",0,K10))</f>
        <v/>
      </c>
      <c r="M10" s="43" t="n"/>
      <c r="N10" s="44" t="n"/>
      <c r="O10" s="18" t="inlineStr">
        <is>
          <t>PicPay Card</t>
        </is>
      </c>
      <c r="P10" s="45" t="n"/>
      <c r="Q10" s="45" t="n"/>
      <c r="R10" s="45">
        <f>IF(P10="","",P10-IF(Q10="",0,Q10))</f>
        <v/>
      </c>
      <c r="S10" s="45" t="n"/>
      <c r="T10" s="45">
        <f>IF(Q10="","",Q10+IF(S10="",0,S10))</f>
        <v/>
      </c>
      <c r="U10" s="46" t="n"/>
      <c r="V10" s="47" t="n"/>
    </row>
    <row r="11" ht="20" customHeight="1">
      <c r="A11" s="48" t="inlineStr"/>
      <c r="B11" s="49" t="n"/>
      <c r="C11" s="50" t="n"/>
      <c r="D11" s="51" t="n"/>
      <c r="E11" s="52" t="inlineStr">
        <is>
          <t>AUX.PRÉ.ESC</t>
        </is>
      </c>
      <c r="F11" s="53" t="n"/>
      <c r="G11" s="54" t="n"/>
      <c r="H11" s="54" t="n"/>
      <c r="I11" s="55" t="inlineStr">
        <is>
          <t>CONTA CLARO</t>
        </is>
      </c>
      <c r="J11" s="56" t="n"/>
      <c r="K11" s="56" t="n"/>
      <c r="L11" s="56">
        <f>IF(J11="","",J11+IF(K11="",0,K11))</f>
        <v/>
      </c>
      <c r="M11" s="57" t="n"/>
      <c r="N11" s="58" t="n"/>
      <c r="O11" s="59" t="inlineStr">
        <is>
          <t>Itaú Card</t>
        </is>
      </c>
      <c r="P11" s="60" t="n"/>
      <c r="Q11" s="60" t="n"/>
      <c r="R11" s="60">
        <f>IF(P11="","",P11-IF(Q11="",0,Q11))</f>
        <v/>
      </c>
      <c r="S11" s="60" t="n"/>
      <c r="T11" s="60">
        <f>IF(Q11="","",Q11+IF(S11="",0,S11))</f>
        <v/>
      </c>
      <c r="U11" s="61" t="n"/>
      <c r="V11" s="62" t="n"/>
    </row>
    <row r="12" ht="20" customHeight="1">
      <c r="A12" s="6" t="inlineStr"/>
      <c r="B12" s="37" t="n"/>
      <c r="C12" s="38" t="n"/>
      <c r="D12" s="39" t="n"/>
      <c r="E12" s="9" t="inlineStr">
        <is>
          <t>Dízimo</t>
        </is>
      </c>
      <c r="F12" s="40" t="n"/>
      <c r="G12" s="41" t="n"/>
      <c r="H12" s="41" t="n"/>
      <c r="I12" s="15" t="inlineStr">
        <is>
          <t>MAXÍDOMINI</t>
        </is>
      </c>
      <c r="J12" s="42" t="n"/>
      <c r="K12" s="42" t="n"/>
      <c r="L12" s="42">
        <f>IF(J12="","",J12+IF(K12="",0,K12))</f>
        <v/>
      </c>
      <c r="M12" s="43" t="n"/>
      <c r="N12" s="44" t="n"/>
      <c r="O12" s="18" t="inlineStr">
        <is>
          <t>CAIXA ELO</t>
        </is>
      </c>
      <c r="P12" s="45" t="n"/>
      <c r="Q12" s="45" t="n"/>
      <c r="R12" s="45">
        <f>IF(P12="","",P12-IF(Q12="",0,Q12))</f>
        <v/>
      </c>
      <c r="S12" s="45" t="n"/>
      <c r="T12" s="45">
        <f>IF(Q12="","",Q12+IF(S12="",0,S12))</f>
        <v/>
      </c>
      <c r="U12" s="46" t="n"/>
      <c r="V12" s="47" t="n"/>
    </row>
    <row r="13" ht="20" customHeight="1">
      <c r="A13" s="48" t="inlineStr"/>
      <c r="B13" s="49" t="n"/>
      <c r="C13" s="50" t="n"/>
      <c r="D13" s="51" t="n"/>
      <c r="E13" s="52" t="inlineStr"/>
      <c r="F13" s="53" t="n"/>
      <c r="G13" s="54" t="n"/>
      <c r="H13" s="54" t="n"/>
      <c r="I13" s="55" t="inlineStr">
        <is>
          <t>COSANPA/ÁGUA</t>
        </is>
      </c>
      <c r="J13" s="56" t="n"/>
      <c r="K13" s="56" t="n"/>
      <c r="L13" s="56">
        <f>IF(J13="","",J13+IF(K13="",0,K13))</f>
        <v/>
      </c>
      <c r="M13" s="57" t="n"/>
      <c r="N13" s="58" t="n"/>
      <c r="O13" s="59" t="inlineStr">
        <is>
          <t>Bradesco</t>
        </is>
      </c>
      <c r="P13" s="60" t="n"/>
      <c r="Q13" s="60" t="n"/>
      <c r="R13" s="60">
        <f>IF(P13="","",P13-IF(Q13="",0,Q13))</f>
        <v/>
      </c>
      <c r="S13" s="60" t="n"/>
      <c r="T13" s="60">
        <f>IF(Q13="","",Q13+IF(S13="",0,S13))</f>
        <v/>
      </c>
      <c r="U13" s="61" t="n"/>
      <c r="V13" s="62" t="n"/>
    </row>
    <row r="14" ht="20" customHeight="1">
      <c r="A14" s="6" t="inlineStr"/>
      <c r="B14" s="37" t="n"/>
      <c r="C14" s="38" t="n"/>
      <c r="D14" s="39" t="n"/>
      <c r="E14" s="9" t="inlineStr"/>
      <c r="F14" s="40" t="n"/>
      <c r="G14" s="41" t="n"/>
      <c r="H14" s="41" t="n"/>
      <c r="I14" s="15" t="inlineStr">
        <is>
          <t>ESCOLA SALMOM</t>
        </is>
      </c>
      <c r="J14" s="42" t="n"/>
      <c r="K14" s="42" t="n"/>
      <c r="L14" s="42">
        <f>IF(J14="","",J14+IF(K14="",0,K14))</f>
        <v/>
      </c>
      <c r="M14" s="43" t="n"/>
      <c r="N14" s="44" t="n"/>
      <c r="O14" s="18" t="inlineStr">
        <is>
          <t>RecargaPay</t>
        </is>
      </c>
      <c r="P14" s="45" t="n"/>
      <c r="Q14" s="45" t="n"/>
      <c r="R14" s="45">
        <f>IF(P14="","",P14-IF(Q14="",0,Q14))</f>
        <v/>
      </c>
      <c r="S14" s="45" t="n"/>
      <c r="T14" s="45">
        <f>IF(Q14="","",Q14+IF(S14="",0,S14))</f>
        <v/>
      </c>
      <c r="U14" s="46" t="n"/>
      <c r="V14" s="47" t="n"/>
    </row>
    <row r="15" ht="20" customHeight="1">
      <c r="A15" s="48" t="inlineStr"/>
      <c r="B15" s="49" t="n"/>
      <c r="C15" s="50" t="n"/>
      <c r="D15" s="51" t="n"/>
      <c r="E15" s="52" t="inlineStr"/>
      <c r="F15" s="53" t="n"/>
      <c r="G15" s="54" t="n"/>
      <c r="H15" s="54" t="n"/>
      <c r="I15" s="55" t="inlineStr">
        <is>
          <t>CORECON</t>
        </is>
      </c>
      <c r="J15" s="56" t="n"/>
      <c r="K15" s="56" t="n"/>
      <c r="L15" s="56">
        <f>IF(J15="","",J15+IF(K15="",0,K15))</f>
        <v/>
      </c>
      <c r="M15" s="57" t="n"/>
      <c r="N15" s="58" t="n"/>
      <c r="O15" s="59" t="inlineStr">
        <is>
          <t>BipaCard</t>
        </is>
      </c>
      <c r="P15" s="60" t="n"/>
      <c r="Q15" s="60" t="n"/>
      <c r="R15" s="60">
        <f>IF(P15="","",P15-IF(Q15="",0,Q15))</f>
        <v/>
      </c>
      <c r="S15" s="60" t="n"/>
      <c r="T15" s="60">
        <f>IF(Q15="","",Q15+IF(S15="",0,S15))</f>
        <v/>
      </c>
      <c r="U15" s="61" t="n"/>
      <c r="V15" s="62" t="n"/>
    </row>
    <row r="16" ht="20" customHeight="1">
      <c r="A16" s="6" t="inlineStr"/>
      <c r="B16" s="37" t="n"/>
      <c r="C16" s="38" t="n"/>
      <c r="D16" s="39" t="n"/>
      <c r="E16" s="9" t="inlineStr"/>
      <c r="F16" s="40" t="n"/>
      <c r="G16" s="41" t="n"/>
      <c r="H16" s="41" t="n"/>
      <c r="I16" s="15" t="inlineStr">
        <is>
          <t>Boticário</t>
        </is>
      </c>
      <c r="J16" s="42" t="n"/>
      <c r="K16" s="42" t="n"/>
      <c r="L16" s="42">
        <f>IF(J16="","",J16+IF(K16="",0,K16))</f>
        <v/>
      </c>
      <c r="M16" s="43" t="n"/>
      <c r="N16" s="44" t="n"/>
      <c r="O16" s="18" t="inlineStr">
        <is>
          <t>InfinitCard</t>
        </is>
      </c>
      <c r="P16" s="45" t="n"/>
      <c r="Q16" s="45" t="n"/>
      <c r="R16" s="45">
        <f>IF(P16="","",P16-IF(Q16="",0,Q16))</f>
        <v/>
      </c>
      <c r="S16" s="45" t="n"/>
      <c r="T16" s="45">
        <f>IF(Q16="","",Q16+IF(S16="",0,S16))</f>
        <v/>
      </c>
      <c r="U16" s="46" t="n"/>
      <c r="V16" s="47" t="n"/>
    </row>
    <row r="17" ht="20" customHeight="1">
      <c r="A17" s="48" t="inlineStr"/>
      <c r="B17" s="49" t="n"/>
      <c r="C17" s="50" t="n"/>
      <c r="D17" s="51" t="n"/>
      <c r="E17" s="52" t="inlineStr"/>
      <c r="F17" s="53" t="n"/>
      <c r="G17" s="54" t="n"/>
      <c r="H17" s="54" t="n"/>
      <c r="I17" s="55" t="inlineStr">
        <is>
          <t>Rodobens</t>
        </is>
      </c>
      <c r="J17" s="56" t="n"/>
      <c r="K17" s="56" t="n"/>
      <c r="L17" s="56">
        <f>IF(J17="","",J17+IF(K17="",0,K17))</f>
        <v/>
      </c>
      <c r="M17" s="57" t="n"/>
      <c r="N17" s="58" t="n"/>
      <c r="O17" s="59" t="inlineStr">
        <is>
          <t>Pagbank</t>
        </is>
      </c>
      <c r="P17" s="60" t="n"/>
      <c r="Q17" s="60" t="n"/>
      <c r="R17" s="60">
        <f>IF(P17="","",P17-IF(Q17="",0,Q17))</f>
        <v/>
      </c>
      <c r="S17" s="60" t="n"/>
      <c r="T17" s="60">
        <f>IF(Q17="","",Q17+IF(S17="",0,S17))</f>
        <v/>
      </c>
      <c r="U17" s="61" t="n"/>
      <c r="V17" s="62" t="n"/>
    </row>
    <row r="18" ht="20" customHeight="1">
      <c r="A18" s="6" t="inlineStr"/>
      <c r="B18" s="37" t="n"/>
      <c r="C18" s="38" t="n"/>
      <c r="D18" s="39" t="n"/>
      <c r="E18" s="9" t="inlineStr"/>
      <c r="F18" s="40" t="n"/>
      <c r="G18" s="41" t="n"/>
      <c r="H18" s="41" t="n"/>
      <c r="I18" s="15" t="inlineStr"/>
      <c r="J18" s="42" t="n"/>
      <c r="K18" s="42" t="n"/>
      <c r="L18" s="42">
        <f>IF(J18="","",J18+IF(K18="",0,K18))</f>
        <v/>
      </c>
      <c r="M18" s="43" t="n"/>
      <c r="N18" s="44" t="n"/>
      <c r="O18" s="18" t="inlineStr">
        <is>
          <t>TonCard</t>
        </is>
      </c>
      <c r="P18" s="45" t="n"/>
      <c r="Q18" s="45" t="n"/>
      <c r="R18" s="45">
        <f>IF(P18="","",P18-IF(Q18="",0,Q18))</f>
        <v/>
      </c>
      <c r="S18" s="45" t="n"/>
      <c r="T18" s="45">
        <f>IF(Q18="","",Q18+IF(S18="",0,S18))</f>
        <v/>
      </c>
      <c r="U18" s="46" t="n"/>
      <c r="V18" s="47" t="n"/>
    </row>
    <row r="19" ht="20" customHeight="1">
      <c r="A19" s="48" t="inlineStr"/>
      <c r="B19" s="49" t="n"/>
      <c r="C19" s="50" t="n"/>
      <c r="D19" s="51" t="n"/>
      <c r="E19" s="52" t="inlineStr"/>
      <c r="F19" s="53" t="n"/>
      <c r="G19" s="54" t="n"/>
      <c r="H19" s="54" t="n"/>
      <c r="I19" s="55" t="inlineStr"/>
      <c r="J19" s="56" t="n"/>
      <c r="K19" s="56" t="n"/>
      <c r="L19" s="56">
        <f>IF(J19="","",J19+IF(K19="",0,K19))</f>
        <v/>
      </c>
      <c r="M19" s="57" t="n"/>
      <c r="N19" s="58" t="n"/>
      <c r="O19" s="59" t="inlineStr"/>
      <c r="P19" s="60" t="n"/>
      <c r="Q19" s="60" t="n"/>
      <c r="R19" s="60">
        <f>IF(P19="","",P19-IF(Q19="",0,Q19))</f>
        <v/>
      </c>
      <c r="S19" s="60" t="n"/>
      <c r="T19" s="60">
        <f>IF(Q19="","",Q19+IF(S19="",0,S19))</f>
        <v/>
      </c>
      <c r="U19" s="61" t="n"/>
      <c r="V19" s="62" t="n"/>
    </row>
    <row r="20" ht="22" customHeight="1">
      <c r="A20" s="63" t="inlineStr">
        <is>
          <t>RECEITA TOTAL</t>
        </is>
      </c>
      <c r="B20" s="8">
        <f>SUM(B4:B19)</f>
        <v/>
      </c>
      <c r="C20" s="64" t="n"/>
      <c r="D20" s="64" t="n"/>
      <c r="E20" s="65" t="inlineStr">
        <is>
          <t>TOTAL DESCONTOS</t>
        </is>
      </c>
      <c r="F20" s="11">
        <f>SUM(F4:F19)</f>
        <v/>
      </c>
      <c r="G20" s="66" t="n"/>
      <c r="H20" s="66" t="n"/>
      <c r="I20" s="67" t="inlineStr">
        <is>
          <t>TOTAL FIXAS (CET)</t>
        </is>
      </c>
      <c r="J20" s="21">
        <f>SUM(J4:J19)</f>
        <v/>
      </c>
      <c r="K20" s="21">
        <f>SUM(K4:K19)</f>
        <v/>
      </c>
      <c r="L20" s="21">
        <f>SUM(L4:L19)</f>
        <v/>
      </c>
      <c r="M20" s="68" t="n"/>
      <c r="N20" s="68" t="n"/>
      <c r="O20" s="69" t="inlineStr">
        <is>
          <t>TOTAL CARTÕES</t>
        </is>
      </c>
      <c r="P20" s="70">
        <f>SUM(P4:P19)</f>
        <v/>
      </c>
      <c r="Q20" s="70">
        <f>SUM(Q4:Q19)</f>
        <v/>
      </c>
      <c r="R20" s="70">
        <f>SUM(R4:R19)</f>
        <v/>
      </c>
      <c r="S20" s="70">
        <f>SUM(S4:S19)</f>
        <v/>
      </c>
      <c r="T20" s="70">
        <f>SUM(T4:T19)</f>
        <v/>
      </c>
      <c r="U20" s="71" t="n"/>
      <c r="V20" s="71" t="n"/>
    </row>
    <row r="21">
      <c r="O21" s="72" t="inlineStr">
        <is>
          <t>¹ SALDO = Fatura − Pago  (valor não quitado = nova dívida do mês)</t>
        </is>
      </c>
    </row>
    <row r="22" ht="22" customHeight="1">
      <c r="A22" s="73" t="inlineStr">
        <is>
          <t>ASSINATURAS ONLINE</t>
        </is>
      </c>
      <c r="F22" s="73" t="inlineStr">
        <is>
          <t>NOTAS / EMPRÉSTIMOS / CONSIGNADOS</t>
        </is>
      </c>
    </row>
    <row r="23" ht="20" customHeight="1">
      <c r="A23" s="74" t="inlineStr">
        <is>
          <t>CARTÃO</t>
        </is>
      </c>
      <c r="B23" s="74" t="inlineStr">
        <is>
          <t>SERVIÇO</t>
        </is>
      </c>
      <c r="C23" s="74" t="inlineStr">
        <is>
          <t>VALOR</t>
        </is>
      </c>
      <c r="D23" s="74" t="inlineStr">
        <is>
          <t>DIA/SITUAÇÃO</t>
        </is>
      </c>
      <c r="F23" s="74" t="inlineStr">
        <is>
          <t>DESCRIÇÃO</t>
        </is>
      </c>
      <c r="G23" s="74" t="inlineStr">
        <is>
          <t>TAXA (am)</t>
        </is>
      </c>
      <c r="H23" s="74" t="inlineStr">
        <is>
          <t>TAXA (aa)</t>
        </is>
      </c>
      <c r="I23" s="74" t="inlineStr">
        <is>
          <t>OBS / SALDO</t>
        </is>
      </c>
    </row>
    <row r="24" ht="18" customHeight="1">
      <c r="A24" s="75" t="inlineStr">
        <is>
          <t>NU</t>
        </is>
      </c>
      <c r="B24" s="22" t="inlineStr">
        <is>
          <t>GDRIVE SABRI</t>
        </is>
      </c>
      <c r="C24" s="23" t="n">
        <v>49.9</v>
      </c>
      <c r="D24" s="22" t="inlineStr">
        <is>
          <t>DIA 04 — CRÉDITO (NU)</t>
        </is>
      </c>
      <c r="F24" s="22" t="inlineStr">
        <is>
          <t>Consignado Nubank 1</t>
        </is>
      </c>
      <c r="G24" s="75" t="inlineStr">
        <is>
          <t>1.30% am</t>
        </is>
      </c>
      <c r="H24" s="75" t="inlineStr">
        <is>
          <t>16.74% aa</t>
        </is>
      </c>
      <c r="I24" s="22" t="inlineStr">
        <is>
          <t>73x</t>
        </is>
      </c>
    </row>
    <row r="25" ht="18" customHeight="1">
      <c r="A25" s="76" t="inlineStr">
        <is>
          <t>NU</t>
        </is>
      </c>
      <c r="B25" s="77" t="inlineStr">
        <is>
          <t>CONTA TIM</t>
        </is>
      </c>
      <c r="C25" s="78" t="n">
        <v>42</v>
      </c>
      <c r="D25" s="77" t="inlineStr">
        <is>
          <t>DIA 15 — PG MANUAL</t>
        </is>
      </c>
      <c r="F25" s="77" t="inlineStr">
        <is>
          <t>Consignado Nubank 2</t>
        </is>
      </c>
      <c r="G25" s="76" t="inlineStr">
        <is>
          <t>1.57% am</t>
        </is>
      </c>
      <c r="H25" s="76" t="inlineStr">
        <is>
          <t>21.85% aa</t>
        </is>
      </c>
      <c r="I25" s="77" t="inlineStr">
        <is>
          <t>96x — saldo R$776,82</t>
        </is>
      </c>
    </row>
    <row r="26" ht="18" customHeight="1">
      <c r="A26" s="75" t="inlineStr">
        <is>
          <t>SANTANDER SX</t>
        </is>
      </c>
      <c r="B26" s="22" t="inlineStr">
        <is>
          <t>PLANO CLARO</t>
        </is>
      </c>
      <c r="C26" s="23" t="n">
        <v>73.73</v>
      </c>
      <c r="D26" s="22" t="inlineStr">
        <is>
          <t>DIA 09 — PG MANUAL</t>
        </is>
      </c>
      <c r="F26" s="22" t="inlineStr">
        <is>
          <t>Fin. Habitação CAIXA</t>
        </is>
      </c>
      <c r="G26" s="75" t="inlineStr">
        <is>
          <t>7% nominal</t>
        </is>
      </c>
      <c r="H26" s="75" t="inlineStr"/>
      <c r="I26" s="22" t="inlineStr"/>
    </row>
    <row r="27" ht="18" customHeight="1">
      <c r="A27" s="76" t="inlineStr">
        <is>
          <t>NU</t>
        </is>
      </c>
      <c r="B27" s="77" t="inlineStr">
        <is>
          <t>YOUTUBE ST</t>
        </is>
      </c>
      <c r="C27" s="78" t="n">
        <v>53.9</v>
      </c>
      <c r="D27" s="77" t="inlineStr">
        <is>
          <t>DIA 25 — CRÉDITO (NU)</t>
        </is>
      </c>
      <c r="F27" s="77" t="inlineStr">
        <is>
          <t>Empréstimo Sabrina</t>
        </is>
      </c>
      <c r="G27" s="76" t="inlineStr"/>
      <c r="H27" s="76" t="inlineStr"/>
      <c r="I27" s="77" t="inlineStr">
        <is>
          <t>saldo R$2.503,46</t>
        </is>
      </c>
    </row>
    <row r="28" ht="18" customHeight="1">
      <c r="A28" s="75" t="inlineStr">
        <is>
          <t>NU</t>
        </is>
      </c>
      <c r="B28" s="22" t="inlineStr">
        <is>
          <t>ICLOUD</t>
        </is>
      </c>
      <c r="C28" s="23" t="n">
        <v>5.9</v>
      </c>
      <c r="D28" s="22" t="inlineStr">
        <is>
          <t>DIA 01 — CRÉDITO (NU)</t>
        </is>
      </c>
      <c r="F28" s="22" t="inlineStr">
        <is>
          <t>Empréstimo Josy</t>
        </is>
      </c>
      <c r="G28" s="75" t="inlineStr"/>
      <c r="H28" s="75" t="inlineStr"/>
      <c r="I28" s="22" t="inlineStr"/>
    </row>
    <row r="29" ht="18" customHeight="1">
      <c r="A29" s="76" t="inlineStr"/>
      <c r="B29" s="77" t="inlineStr">
        <is>
          <t>Serasa</t>
        </is>
      </c>
      <c r="C29" s="78" t="n">
        <v>23.9</v>
      </c>
      <c r="D29" s="77" t="inlineStr">
        <is>
          <t xml:space="preserve">DIA 17 — </t>
        </is>
      </c>
      <c r="F29" s="77" t="inlineStr"/>
      <c r="G29" s="76" t="inlineStr"/>
      <c r="H29" s="76" t="inlineStr"/>
      <c r="I29" s="77" t="inlineStr"/>
    </row>
    <row r="30" ht="18" customHeight="1">
      <c r="A30" s="75" t="inlineStr"/>
      <c r="B30" s="22" t="inlineStr">
        <is>
          <t>Kindle</t>
        </is>
      </c>
      <c r="C30" s="23" t="n">
        <v>24</v>
      </c>
      <c r="D30" s="22" t="inlineStr"/>
      <c r="F30" s="22" t="inlineStr"/>
      <c r="G30" s="75" t="inlineStr"/>
      <c r="H30" s="75" t="inlineStr"/>
      <c r="I30" s="22" t="inlineStr"/>
    </row>
    <row r="31" ht="18" customHeight="1">
      <c r="A31" s="76" t="inlineStr">
        <is>
          <t>NU</t>
        </is>
      </c>
      <c r="B31" s="77" t="inlineStr">
        <is>
          <t>GPT</t>
        </is>
      </c>
      <c r="C31" s="78" t="n">
        <v>130</v>
      </c>
      <c r="D31" s="77" t="inlineStr">
        <is>
          <t>DIA 02 — CRÉDITO (NU)</t>
        </is>
      </c>
    </row>
    <row r="32" ht="18" customHeight="1">
      <c r="A32" s="75" t="inlineStr">
        <is>
          <t>NU</t>
        </is>
      </c>
      <c r="B32" s="22" t="inlineStr">
        <is>
          <t>Copilot</t>
        </is>
      </c>
      <c r="C32" s="23" t="n">
        <v>109.9</v>
      </c>
      <c r="D32" s="22" t="inlineStr">
        <is>
          <t>DIA 04 — CRÉDITO (NU)</t>
        </is>
      </c>
    </row>
    <row r="33" ht="18" customHeight="1">
      <c r="A33" s="76" t="inlineStr">
        <is>
          <t>NU</t>
        </is>
      </c>
      <c r="B33" s="77" t="inlineStr">
        <is>
          <t>WORD</t>
        </is>
      </c>
      <c r="C33" s="78" t="n">
        <v>0</v>
      </c>
      <c r="D33" s="77" t="inlineStr">
        <is>
          <t>Anual — CRÉDITO (NU)</t>
        </is>
      </c>
    </row>
    <row r="34" ht="18" customHeight="1">
      <c r="A34" s="75" t="inlineStr">
        <is>
          <t>NU</t>
        </is>
      </c>
      <c r="B34" s="22" t="inlineStr">
        <is>
          <t>GDRIVE EWE</t>
        </is>
      </c>
      <c r="C34" s="23" t="n">
        <v>0</v>
      </c>
      <c r="D34" s="22" t="inlineStr">
        <is>
          <t>Ago/26 — CRÉDITO (NU)</t>
        </is>
      </c>
    </row>
    <row r="35" ht="18" customHeight="1">
      <c r="A35" s="76" t="inlineStr"/>
      <c r="B35" s="77" t="inlineStr">
        <is>
          <t>PDFVIEW</t>
        </is>
      </c>
      <c r="C35" s="78" t="n">
        <v>0</v>
      </c>
      <c r="D35" s="77" t="inlineStr">
        <is>
          <t>CRÉDITO (NU)</t>
        </is>
      </c>
    </row>
    <row r="36" ht="20" customHeight="1">
      <c r="A36" s="79" t="inlineStr">
        <is>
          <t>TOTAL ASSINATURAS</t>
        </is>
      </c>
      <c r="C36" s="24">
        <f>SUM(C24:C35)</f>
        <v/>
      </c>
      <c r="D36" s="3" t="n"/>
    </row>
    <row r="38" ht="22" customHeight="1">
      <c r="A38" s="80" t="inlineStr">
        <is>
          <t>CHEQUE ESPECIAL / DÍVIDAS FINANCEIRAS</t>
        </is>
      </c>
    </row>
    <row r="39" ht="22" customHeight="1">
      <c r="A39" s="35" t="inlineStr">
        <is>
          <t>BANCO</t>
        </is>
      </c>
      <c r="B39" s="35" t="inlineStr">
        <is>
          <t>LIMITE</t>
        </is>
      </c>
      <c r="C39" s="35" t="inlineStr">
        <is>
          <t>USADO</t>
        </is>
      </c>
      <c r="D39" s="35" t="inlineStr">
        <is>
          <t>JUROS MÊS</t>
        </is>
      </c>
      <c r="E39" s="35" t="inlineStr">
        <is>
          <t>TAXA % aa</t>
        </is>
      </c>
      <c r="F39" s="35" t="inlineStr">
        <is>
          <t>DIAS</t>
        </is>
      </c>
      <c r="G39" s="35" t="inlineStr">
        <is>
          <t>SITUAÇÃO</t>
        </is>
      </c>
    </row>
    <row r="40" ht="19" customHeight="1">
      <c r="A40" s="15" t="inlineStr">
        <is>
          <t>BB</t>
        </is>
      </c>
      <c r="B40" s="16" t="n"/>
      <c r="C40" s="16" t="n"/>
      <c r="D40" s="16" t="n"/>
      <c r="E40" s="81" t="n"/>
      <c r="F40" s="81" t="n"/>
      <c r="G40" s="81" t="n"/>
    </row>
    <row r="41" ht="19" customHeight="1">
      <c r="A41" s="55" t="inlineStr">
        <is>
          <t>Santander</t>
        </is>
      </c>
      <c r="B41" s="82" t="n"/>
      <c r="C41" s="82" t="n"/>
      <c r="D41" s="82" t="n"/>
      <c r="E41" s="83" t="n"/>
      <c r="F41" s="83" t="n"/>
      <c r="G41" s="83" t="n"/>
    </row>
    <row r="42" ht="19" customHeight="1">
      <c r="A42" s="15" t="inlineStr">
        <is>
          <t>Caixa</t>
        </is>
      </c>
      <c r="B42" s="16" t="n"/>
      <c r="C42" s="16" t="n"/>
      <c r="D42" s="16" t="n"/>
      <c r="E42" s="81" t="n"/>
      <c r="F42" s="81" t="n"/>
      <c r="G42" s="81" t="n"/>
    </row>
    <row r="43" ht="19" customHeight="1">
      <c r="A43" s="55" t="inlineStr">
        <is>
          <t>Itaú</t>
        </is>
      </c>
      <c r="B43" s="82" t="n"/>
      <c r="C43" s="82" t="n"/>
      <c r="D43" s="82" t="n"/>
      <c r="E43" s="83" t="n"/>
      <c r="F43" s="83" t="n"/>
      <c r="G43" s="83" t="n"/>
    </row>
    <row r="44" ht="19" customHeight="1">
      <c r="A44" s="15" t="inlineStr">
        <is>
          <t>Bradesco</t>
        </is>
      </c>
      <c r="B44" s="16" t="n"/>
      <c r="C44" s="16" t="n"/>
      <c r="D44" s="16" t="n"/>
      <c r="E44" s="81" t="n"/>
      <c r="F44" s="81" t="n"/>
      <c r="G44" s="81" t="n"/>
    </row>
    <row r="45" ht="20" customHeight="1">
      <c r="A45" s="67" t="inlineStr">
        <is>
          <t>TOTAL CHEQUE ESPECIAL</t>
        </is>
      </c>
      <c r="C45" s="21">
        <f>SUM(C40:C44)</f>
        <v/>
      </c>
      <c r="D45" s="21">
        <f>SUM(D40:D44)</f>
        <v/>
      </c>
      <c r="E45" s="84" t="n"/>
      <c r="F45" s="84" t="n"/>
      <c r="G45" s="84" t="n"/>
    </row>
    <row r="47" ht="28" customHeight="1">
      <c r="A47" s="28" t="inlineStr">
        <is>
          <t xml:space="preserve">  ══  RESULTADO DO MÊS  ══</t>
        </is>
      </c>
    </row>
    <row r="48" ht="19" customHeight="1">
      <c r="A48" s="6" t="inlineStr">
        <is>
          <t>Receita Bruta</t>
        </is>
      </c>
      <c r="F48" s="7">
        <f>B20</f>
        <v/>
      </c>
    </row>
    <row r="49" ht="19" customHeight="1">
      <c r="A49" s="9" t="inlineStr">
        <is>
          <t>(−) Descontos em Folha</t>
        </is>
      </c>
      <c r="F49" s="10">
        <f>F20</f>
        <v/>
      </c>
    </row>
    <row r="50" ht="24" customHeight="1">
      <c r="A50" s="85">
        <f> Receita Líquida</f>
        <v/>
      </c>
      <c r="F50" s="14">
        <f>F48-F49</f>
        <v/>
      </c>
    </row>
    <row r="51" ht="19" customHeight="1">
      <c r="A51" s="15" t="inlineStr">
        <is>
          <t>(−) Despesas Fixas (CET)</t>
        </is>
      </c>
      <c r="F51" s="16">
        <f>L20</f>
        <v/>
      </c>
    </row>
    <row r="52" ht="19" customHeight="1">
      <c r="A52" s="18" t="inlineStr">
        <is>
          <t>(−) Cartões — Valor Pago</t>
        </is>
      </c>
      <c r="F52" s="19">
        <f>Q20</f>
        <v/>
      </c>
    </row>
    <row r="53" ht="19" customHeight="1">
      <c r="A53" s="18" t="inlineStr">
        <is>
          <t>(−) Juros dos Cartões</t>
        </is>
      </c>
      <c r="F53" s="19">
        <f>S20</f>
        <v/>
      </c>
    </row>
    <row r="54" ht="19" customHeight="1">
      <c r="A54" s="15" t="inlineStr">
        <is>
          <t>(−) Juros Cheque Especial</t>
        </is>
      </c>
      <c r="F54" s="16">
        <f>D45</f>
        <v/>
      </c>
    </row>
    <row r="55" ht="19" customHeight="1">
      <c r="A55" s="22" t="inlineStr">
        <is>
          <t>(−) Assinaturas Online</t>
        </is>
      </c>
      <c r="F55" s="23">
        <f>C36</f>
        <v/>
      </c>
    </row>
    <row r="56" ht="24" customHeight="1">
      <c r="A56" s="86">
        <f> SALDO REAL DO MÊS</f>
        <v/>
      </c>
      <c r="F56" s="27">
        <f>F50-F51-F52-F53-F54-F55</f>
        <v/>
      </c>
    </row>
    <row r="57" ht="19" customHeight="1">
      <c r="A57" s="15" t="inlineStr">
        <is>
          <t>⚠  Nova Dívida (cartões não pagos)</t>
        </is>
      </c>
      <c r="F57" s="16">
        <f>R20</f>
        <v/>
      </c>
    </row>
    <row r="59" ht="22" customHeight="1">
      <c r="A59" s="73" t="inlineStr">
        <is>
          <t>CONTAS E SALDOS</t>
        </is>
      </c>
    </row>
    <row r="60" ht="18" customHeight="1">
      <c r="A60" s="74" t="inlineStr">
        <is>
          <t>BANCO / CARTEIRA</t>
        </is>
      </c>
      <c r="B60" s="74" t="inlineStr">
        <is>
          <t>SALDO (R$)</t>
        </is>
      </c>
      <c r="C60" s="74" t="inlineStr">
        <is>
          <t>OBS</t>
        </is>
      </c>
    </row>
    <row r="61" ht="18" customHeight="1">
      <c r="A61" s="22" t="inlineStr">
        <is>
          <t>Saldo CC BB</t>
        </is>
      </c>
      <c r="B61" s="23" t="n"/>
      <c r="C61" s="87" t="n"/>
    </row>
    <row r="62" ht="18" customHeight="1">
      <c r="A62" s="77" t="inlineStr">
        <is>
          <t>Santander</t>
        </is>
      </c>
      <c r="B62" s="78" t="n"/>
      <c r="C62" s="88" t="n"/>
    </row>
    <row r="63" ht="18" customHeight="1">
      <c r="A63" s="22" t="inlineStr">
        <is>
          <t>Caixa</t>
        </is>
      </c>
      <c r="B63" s="23" t="n"/>
      <c r="C63" s="87" t="n"/>
    </row>
    <row r="64" ht="18" customHeight="1">
      <c r="A64" s="77" t="inlineStr">
        <is>
          <t>Bipa</t>
        </is>
      </c>
      <c r="B64" s="78" t="n"/>
      <c r="C64" s="88" t="n"/>
    </row>
    <row r="65" ht="18" customHeight="1">
      <c r="A65" s="22" t="inlineStr">
        <is>
          <t>Nubank</t>
        </is>
      </c>
      <c r="B65" s="23" t="n"/>
      <c r="C65" s="87" t="n"/>
    </row>
    <row r="66" ht="18" customHeight="1">
      <c r="A66" s="77" t="inlineStr">
        <is>
          <t>Itaú</t>
        </is>
      </c>
      <c r="B66" s="78" t="n"/>
      <c r="C66" s="88" t="n"/>
    </row>
    <row r="67" ht="18" customHeight="1">
      <c r="A67" s="22" t="inlineStr">
        <is>
          <t>MP</t>
        </is>
      </c>
      <c r="B67" s="23" t="n"/>
      <c r="C67" s="87" t="n"/>
    </row>
    <row r="68" ht="18" customHeight="1">
      <c r="A68" s="77" t="inlineStr">
        <is>
          <t>KuCoin</t>
        </is>
      </c>
      <c r="B68" s="78" t="n"/>
      <c r="C68" s="88" t="n"/>
    </row>
    <row r="69" ht="18" customHeight="1">
      <c r="A69" s="22" t="inlineStr">
        <is>
          <t>Ton</t>
        </is>
      </c>
      <c r="B69" s="23" t="n"/>
      <c r="C69" s="87" t="n"/>
    </row>
    <row r="70" ht="18" customHeight="1">
      <c r="A70" s="77" t="inlineStr">
        <is>
          <t>Picpay</t>
        </is>
      </c>
      <c r="B70" s="78" t="n"/>
      <c r="C70" s="88" t="n"/>
    </row>
    <row r="71" ht="18" customHeight="1">
      <c r="A71" s="22" t="inlineStr">
        <is>
          <t>Recargapay</t>
        </is>
      </c>
      <c r="B71" s="23" t="n"/>
      <c r="C71" s="87" t="n"/>
    </row>
    <row r="72" ht="18" customHeight="1">
      <c r="A72" s="77" t="inlineStr">
        <is>
          <t>Infinitepay</t>
        </is>
      </c>
      <c r="B72" s="78" t="n"/>
      <c r="C72" s="88" t="n"/>
    </row>
    <row r="73" ht="18" customHeight="1">
      <c r="A73" s="22" t="inlineStr">
        <is>
          <t>PagBank</t>
        </is>
      </c>
      <c r="B73" s="23" t="n"/>
      <c r="C73" s="87" t="n"/>
    </row>
    <row r="74" ht="18" customHeight="1">
      <c r="A74" s="77" t="inlineStr">
        <is>
          <t>C6 BANK</t>
        </is>
      </c>
      <c r="B74" s="78" t="n"/>
      <c r="C74" s="88" t="n"/>
    </row>
    <row r="75" ht="18" customHeight="1">
      <c r="A75" s="22" t="inlineStr">
        <is>
          <t>INTER</t>
        </is>
      </c>
      <c r="B75" s="23" t="n"/>
      <c r="C75" s="87" t="n"/>
    </row>
    <row r="76" ht="18" customHeight="1">
      <c r="A76" s="77" t="inlineStr">
        <is>
          <t>Bradesco</t>
        </is>
      </c>
      <c r="B76" s="78" t="n"/>
      <c r="C76" s="88" t="n"/>
    </row>
    <row r="77" ht="18" customHeight="1">
      <c r="A77" s="22" t="inlineStr">
        <is>
          <t>BTG</t>
        </is>
      </c>
      <c r="B77" s="23" t="n"/>
      <c r="C77" s="87" t="n"/>
    </row>
    <row r="78" ht="20" customHeight="1">
      <c r="A78" s="79" t="inlineStr">
        <is>
          <t>TOTAL EM CONTAS</t>
        </is>
      </c>
      <c r="B78" s="24">
        <f>SUM(B61:B77)</f>
        <v/>
      </c>
      <c r="C78" s="3" t="n"/>
    </row>
  </sheetData>
  <mergeCells count="23">
    <mergeCell ref="A48:E48"/>
    <mergeCell ref="A22:D22"/>
    <mergeCell ref="A45:B45"/>
    <mergeCell ref="A49:E49"/>
    <mergeCell ref="A51:E51"/>
    <mergeCell ref="A36:B36"/>
    <mergeCell ref="A38:G38"/>
    <mergeCell ref="A47:F47"/>
    <mergeCell ref="A54:E54"/>
    <mergeCell ref="A56:E56"/>
    <mergeCell ref="A55:E55"/>
    <mergeCell ref="A50:E50"/>
    <mergeCell ref="A57:E57"/>
    <mergeCell ref="A1:V1"/>
    <mergeCell ref="O21:V21"/>
    <mergeCell ref="A59:C59"/>
    <mergeCell ref="A53:E53"/>
    <mergeCell ref="I2:N2"/>
    <mergeCell ref="O2:V2"/>
    <mergeCell ref="A52:E52"/>
    <mergeCell ref="A2:D2"/>
    <mergeCell ref="E2:H2"/>
    <mergeCell ref="F22:I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3" customWidth="1" min="3" max="3"/>
    <col width="12" customWidth="1" min="4" max="4"/>
    <col width="24" customWidth="1" min="5" max="5"/>
    <col width="14" customWidth="1" min="6" max="6"/>
    <col width="13" customWidth="1" min="7" max="7"/>
    <col width="13" customWidth="1" min="8" max="8"/>
    <col width="24" customWidth="1" min="9" max="9"/>
    <col width="12" customWidth="1" min="10" max="10"/>
    <col width="9" customWidth="1" min="11" max="11"/>
    <col width="12" customWidth="1" min="12" max="12"/>
    <col width="13" customWidth="1" min="13" max="13"/>
    <col width="12" customWidth="1" min="14" max="14"/>
    <col width="16" customWidth="1" min="15" max="15"/>
    <col width="14" customWidth="1" min="16" max="16"/>
    <col width="14" customWidth="1" min="17" max="17"/>
    <col width="12" customWidth="1" min="18" max="18"/>
    <col width="9" customWidth="1" min="19" max="19"/>
    <col width="12" customWidth="1" min="20" max="20"/>
    <col width="13" customWidth="1" min="21" max="21"/>
    <col width="16" customWidth="1" min="22" max="22"/>
  </cols>
  <sheetData>
    <row r="1" ht="30" customHeight="1">
      <c r="A1" s="28" t="inlineStr">
        <is>
          <t>ORÇAMENTO  AGOSTO  2026</t>
        </is>
      </c>
    </row>
    <row r="2" ht="22" customHeight="1">
      <c r="A2" s="29" t="inlineStr">
        <is>
          <t>▶  FONTES DE RECEITA</t>
        </is>
      </c>
      <c r="E2" s="30" t="inlineStr">
        <is>
          <t>▶  DESCONTOS EM FOLHA</t>
        </is>
      </c>
      <c r="I2" s="31" t="inlineStr">
        <is>
          <t>▶  DESPESAS FIXAS</t>
        </is>
      </c>
      <c r="O2" s="32" t="inlineStr">
        <is>
          <t>▶  DESPESAS COM CARTÕES</t>
        </is>
      </c>
    </row>
    <row r="3" ht="26" customHeight="1">
      <c r="A3" s="33" t="inlineStr">
        <is>
          <t>ORIGEM</t>
        </is>
      </c>
      <c r="B3" s="33" t="inlineStr">
        <is>
          <t>VALOR</t>
        </is>
      </c>
      <c r="C3" s="33" t="inlineStr">
        <is>
          <t>SITUAÇÃO</t>
        </is>
      </c>
      <c r="D3" s="33" t="inlineStr">
        <is>
          <t>DATA PG</t>
        </is>
      </c>
      <c r="E3" s="34" t="inlineStr">
        <is>
          <t>ORIGEM</t>
        </is>
      </c>
      <c r="F3" s="34" t="inlineStr">
        <is>
          <t>VALOR</t>
        </is>
      </c>
      <c r="G3" s="34" t="inlineStr">
        <is>
          <t>INFO</t>
        </is>
      </c>
      <c r="H3" s="34" t="inlineStr">
        <is>
          <t>OBS</t>
        </is>
      </c>
      <c r="I3" s="35" t="inlineStr">
        <is>
          <t>ORIGEM</t>
        </is>
      </c>
      <c r="J3" s="35" t="inlineStr">
        <is>
          <t>VALOR</t>
        </is>
      </c>
      <c r="K3" s="35" t="inlineStr">
        <is>
          <t>JUROS</t>
        </is>
      </c>
      <c r="L3" s="35" t="inlineStr">
        <is>
          <t>CET</t>
        </is>
      </c>
      <c r="M3" s="35" t="inlineStr">
        <is>
          <t>SITUAÇÃO</t>
        </is>
      </c>
      <c r="N3" s="35" t="inlineStr">
        <is>
          <t>DATA PG</t>
        </is>
      </c>
      <c r="O3" s="36" t="inlineStr">
        <is>
          <t>CARTÃO</t>
        </is>
      </c>
      <c r="P3" s="36" t="inlineStr">
        <is>
          <t>FATURA</t>
        </is>
      </c>
      <c r="Q3" s="36" t="inlineStr">
        <is>
          <t>PAGO</t>
        </is>
      </c>
      <c r="R3" s="36" t="inlineStr">
        <is>
          <t>SALDO¹</t>
        </is>
      </c>
      <c r="S3" s="36" t="inlineStr">
        <is>
          <t>JUROS</t>
        </is>
      </c>
      <c r="T3" s="36" t="inlineStr">
        <is>
          <t>CET</t>
        </is>
      </c>
      <c r="U3" s="36" t="inlineStr">
        <is>
          <t>SITUAÇÃO</t>
        </is>
      </c>
      <c r="V3" s="36" t="inlineStr">
        <is>
          <t>DATA PG</t>
        </is>
      </c>
    </row>
    <row r="4" ht="20" customHeight="1">
      <c r="A4" s="6" t="inlineStr">
        <is>
          <t>SALÁRIO</t>
        </is>
      </c>
      <c r="B4" s="37" t="n"/>
      <c r="C4" s="38" t="n"/>
      <c r="D4" s="39" t="n"/>
      <c r="E4" s="9" t="inlineStr">
        <is>
          <t>Consignado V.Nbk</t>
        </is>
      </c>
      <c r="F4" s="40" t="n"/>
      <c r="G4" s="41" t="n"/>
      <c r="H4" s="41" t="n"/>
      <c r="I4" s="15" t="inlineStr">
        <is>
          <t>HAPVIDA/SALMINHO</t>
        </is>
      </c>
      <c r="J4" s="42" t="n"/>
      <c r="K4" s="42" t="n"/>
      <c r="L4" s="42">
        <f>IF(J4="","",J4+IF(K4="",0,K4))</f>
        <v/>
      </c>
      <c r="M4" s="43" t="n"/>
      <c r="N4" s="44" t="n"/>
      <c r="O4" s="18" t="inlineStr">
        <is>
          <t>BB</t>
        </is>
      </c>
      <c r="P4" s="45" t="n"/>
      <c r="Q4" s="45" t="n"/>
      <c r="R4" s="45">
        <f>IF(P4="","",P4-IF(Q4="",0,Q4))</f>
        <v/>
      </c>
      <c r="S4" s="45" t="n"/>
      <c r="T4" s="45">
        <f>IF(Q4="","",Q4+IF(S4="",0,S4))</f>
        <v/>
      </c>
      <c r="U4" s="46" t="n"/>
      <c r="V4" s="47" t="n"/>
    </row>
    <row r="5" ht="20" customHeight="1">
      <c r="A5" s="48" t="inlineStr">
        <is>
          <t>Kalena OF/NET</t>
        </is>
      </c>
      <c r="B5" s="49" t="n"/>
      <c r="C5" s="50" t="n"/>
      <c r="D5" s="51" t="n"/>
      <c r="E5" s="52" t="inlineStr">
        <is>
          <t>Caixa Habitação</t>
        </is>
      </c>
      <c r="F5" s="53" t="n"/>
      <c r="G5" s="54" t="n"/>
      <c r="H5" s="54" t="n"/>
      <c r="I5" s="55" t="inlineStr">
        <is>
          <t>HAPVIDA/SABRINA</t>
        </is>
      </c>
      <c r="J5" s="56" t="n"/>
      <c r="K5" s="56" t="n"/>
      <c r="L5" s="56">
        <f>IF(J5="","",J5+IF(K5="",0,K5))</f>
        <v/>
      </c>
      <c r="M5" s="57" t="n"/>
      <c r="N5" s="58" t="n"/>
      <c r="O5" s="59" t="inlineStr">
        <is>
          <t>NU</t>
        </is>
      </c>
      <c r="P5" s="60" t="n"/>
      <c r="Q5" s="60" t="n"/>
      <c r="R5" s="60">
        <f>IF(P5="","",P5-IF(Q5="",0,Q5))</f>
        <v/>
      </c>
      <c r="S5" s="60" t="n"/>
      <c r="T5" s="60">
        <f>IF(Q5="","",Q5+IF(S5="",0,S5))</f>
        <v/>
      </c>
      <c r="U5" s="61" t="n"/>
      <c r="V5" s="62" t="n"/>
    </row>
    <row r="6" ht="20" customHeight="1">
      <c r="A6" s="6" t="inlineStr">
        <is>
          <t>ALUGUÉL</t>
        </is>
      </c>
      <c r="B6" s="37" t="n"/>
      <c r="C6" s="38" t="n"/>
      <c r="D6" s="39" t="n"/>
      <c r="E6" s="9" t="inlineStr">
        <is>
          <t>Consignado BB</t>
        </is>
      </c>
      <c r="F6" s="40" t="n"/>
      <c r="G6" s="41" t="n"/>
      <c r="H6" s="41" t="n"/>
      <c r="I6" s="15" t="inlineStr">
        <is>
          <t>HAP EWE E EFRA</t>
        </is>
      </c>
      <c r="J6" s="42" t="n"/>
      <c r="K6" s="42" t="n"/>
      <c r="L6" s="42">
        <f>IF(J6="","",J6+IF(K6="",0,K6))</f>
        <v/>
      </c>
      <c r="M6" s="43" t="n"/>
      <c r="N6" s="44" t="n"/>
      <c r="O6" s="18" t="inlineStr">
        <is>
          <t>Santander SX</t>
        </is>
      </c>
      <c r="P6" s="45" t="n"/>
      <c r="Q6" s="45" t="n"/>
      <c r="R6" s="45">
        <f>IF(P6="","",P6-IF(Q6="",0,Q6))</f>
        <v/>
      </c>
      <c r="S6" s="45" t="n"/>
      <c r="T6" s="45">
        <f>IF(Q6="","",Q6+IF(S6="",0,S6))</f>
        <v/>
      </c>
      <c r="U6" s="46" t="n"/>
      <c r="V6" s="47" t="n"/>
    </row>
    <row r="7" ht="20" customHeight="1">
      <c r="A7" s="48" t="inlineStr">
        <is>
          <t>Wagner</t>
        </is>
      </c>
      <c r="B7" s="49" t="n"/>
      <c r="C7" s="50" t="n"/>
      <c r="D7" s="51" t="n"/>
      <c r="E7" s="52" t="inlineStr">
        <is>
          <t>Emp.Sal.BB</t>
        </is>
      </c>
      <c r="F7" s="53" t="n"/>
      <c r="G7" s="54" t="n"/>
      <c r="H7" s="54" t="n"/>
      <c r="I7" s="55" t="inlineStr">
        <is>
          <t>CELPA ENERGIA</t>
        </is>
      </c>
      <c r="J7" s="56" t="n"/>
      <c r="K7" s="56" t="n"/>
      <c r="L7" s="56">
        <f>IF(J7="","",J7+IF(K7="",0,K7))</f>
        <v/>
      </c>
      <c r="M7" s="57" t="n"/>
      <c r="N7" s="58" t="n"/>
      <c r="O7" s="59" t="inlineStr">
        <is>
          <t>SELITE</t>
        </is>
      </c>
      <c r="P7" s="60" t="n"/>
      <c r="Q7" s="60" t="n"/>
      <c r="R7" s="60">
        <f>IF(P7="","",P7-IF(Q7="",0,Q7))</f>
        <v/>
      </c>
      <c r="S7" s="60" t="n"/>
      <c r="T7" s="60">
        <f>IF(Q7="","",Q7+IF(S7="",0,S7))</f>
        <v/>
      </c>
      <c r="U7" s="61" t="n"/>
      <c r="V7" s="62" t="n"/>
    </row>
    <row r="8" ht="20" customHeight="1">
      <c r="A8" s="6" t="inlineStr">
        <is>
          <t>Neto</t>
        </is>
      </c>
      <c r="B8" s="37" t="n"/>
      <c r="C8" s="38" t="n"/>
      <c r="D8" s="39" t="n"/>
      <c r="E8" s="9" t="inlineStr">
        <is>
          <t>AUX.TRANSP</t>
        </is>
      </c>
      <c r="F8" s="40" t="n"/>
      <c r="G8" s="41" t="n"/>
      <c r="H8" s="41" t="n"/>
      <c r="I8" s="15" t="inlineStr">
        <is>
          <t>SEATELECOM</t>
        </is>
      </c>
      <c r="J8" s="42" t="n"/>
      <c r="K8" s="42" t="n"/>
      <c r="L8" s="42">
        <f>IF(J8="","",J8+IF(K8="",0,K8))</f>
        <v/>
      </c>
      <c r="M8" s="43" t="n"/>
      <c r="N8" s="44" t="n"/>
      <c r="O8" s="18" t="inlineStr">
        <is>
          <t>Caixa Gold</t>
        </is>
      </c>
      <c r="P8" s="45" t="n"/>
      <c r="Q8" s="45" t="n"/>
      <c r="R8" s="45">
        <f>IF(P8="","",P8-IF(Q8="",0,Q8))</f>
        <v/>
      </c>
      <c r="S8" s="45" t="n"/>
      <c r="T8" s="45">
        <f>IF(Q8="","",Q8+IF(S8="",0,S8))</f>
        <v/>
      </c>
      <c r="U8" s="46" t="n"/>
      <c r="V8" s="47" t="n"/>
    </row>
    <row r="9" ht="20" customHeight="1">
      <c r="A9" s="48" t="inlineStr">
        <is>
          <t>UAB</t>
        </is>
      </c>
      <c r="B9" s="49" t="n"/>
      <c r="C9" s="50" t="n"/>
      <c r="D9" s="51" t="n"/>
      <c r="E9" s="52" t="inlineStr">
        <is>
          <t>CONTRI.SOCIAL</t>
        </is>
      </c>
      <c r="F9" s="53" t="n"/>
      <c r="G9" s="54" t="n"/>
      <c r="H9" s="54" t="n"/>
      <c r="I9" s="55" t="inlineStr">
        <is>
          <t>TX.ÁLAMO</t>
        </is>
      </c>
      <c r="J9" s="56" t="n"/>
      <c r="K9" s="56" t="n"/>
      <c r="L9" s="56">
        <f>IF(J9="","",J9+IF(K9="",0,K9))</f>
        <v/>
      </c>
      <c r="M9" s="57" t="n"/>
      <c r="N9" s="58" t="n"/>
      <c r="O9" s="59" t="inlineStr">
        <is>
          <t>Cartão MP</t>
        </is>
      </c>
      <c r="P9" s="60" t="n"/>
      <c r="Q9" s="60" t="n"/>
      <c r="R9" s="60">
        <f>IF(P9="","",P9-IF(Q9="",0,Q9))</f>
        <v/>
      </c>
      <c r="S9" s="60" t="n"/>
      <c r="T9" s="60">
        <f>IF(Q9="","",Q9+IF(S9="",0,S9))</f>
        <v/>
      </c>
      <c r="U9" s="61" t="n"/>
      <c r="V9" s="62" t="n"/>
    </row>
    <row r="10" ht="20" customHeight="1">
      <c r="A10" s="6" t="inlineStr"/>
      <c r="B10" s="37" t="n"/>
      <c r="C10" s="38" t="n"/>
      <c r="D10" s="39" t="n"/>
      <c r="E10" s="9" t="inlineStr">
        <is>
          <t>IRRF</t>
        </is>
      </c>
      <c r="F10" s="40" t="n"/>
      <c r="G10" s="41" t="n"/>
      <c r="H10" s="41" t="n"/>
      <c r="I10" s="15" t="inlineStr">
        <is>
          <t>CONTA TIM</t>
        </is>
      </c>
      <c r="J10" s="42" t="n"/>
      <c r="K10" s="42" t="n"/>
      <c r="L10" s="42">
        <f>IF(J10="","",J10+IF(K10="",0,K10))</f>
        <v/>
      </c>
      <c r="M10" s="43" t="n"/>
      <c r="N10" s="44" t="n"/>
      <c r="O10" s="18" t="inlineStr">
        <is>
          <t>PicPay Card</t>
        </is>
      </c>
      <c r="P10" s="45" t="n"/>
      <c r="Q10" s="45" t="n"/>
      <c r="R10" s="45">
        <f>IF(P10="","",P10-IF(Q10="",0,Q10))</f>
        <v/>
      </c>
      <c r="S10" s="45" t="n"/>
      <c r="T10" s="45">
        <f>IF(Q10="","",Q10+IF(S10="",0,S10))</f>
        <v/>
      </c>
      <c r="U10" s="46" t="n"/>
      <c r="V10" s="47" t="n"/>
    </row>
    <row r="11" ht="20" customHeight="1">
      <c r="A11" s="48" t="inlineStr"/>
      <c r="B11" s="49" t="n"/>
      <c r="C11" s="50" t="n"/>
      <c r="D11" s="51" t="n"/>
      <c r="E11" s="52" t="inlineStr">
        <is>
          <t>AUX.PRÉ.ESC</t>
        </is>
      </c>
      <c r="F11" s="53" t="n"/>
      <c r="G11" s="54" t="n"/>
      <c r="H11" s="54" t="n"/>
      <c r="I11" s="55" t="inlineStr">
        <is>
          <t>CONTA CLARO</t>
        </is>
      </c>
      <c r="J11" s="56" t="n"/>
      <c r="K11" s="56" t="n"/>
      <c r="L11" s="56">
        <f>IF(J11="","",J11+IF(K11="",0,K11))</f>
        <v/>
      </c>
      <c r="M11" s="57" t="n"/>
      <c r="N11" s="58" t="n"/>
      <c r="O11" s="59" t="inlineStr">
        <is>
          <t>Itaú Card</t>
        </is>
      </c>
      <c r="P11" s="60" t="n"/>
      <c r="Q11" s="60" t="n"/>
      <c r="R11" s="60">
        <f>IF(P11="","",P11-IF(Q11="",0,Q11))</f>
        <v/>
      </c>
      <c r="S11" s="60" t="n"/>
      <c r="T11" s="60">
        <f>IF(Q11="","",Q11+IF(S11="",0,S11))</f>
        <v/>
      </c>
      <c r="U11" s="61" t="n"/>
      <c r="V11" s="62" t="n"/>
    </row>
    <row r="12" ht="20" customHeight="1">
      <c r="A12" s="6" t="inlineStr"/>
      <c r="B12" s="37" t="n"/>
      <c r="C12" s="38" t="n"/>
      <c r="D12" s="39" t="n"/>
      <c r="E12" s="9" t="inlineStr">
        <is>
          <t>Dízimo</t>
        </is>
      </c>
      <c r="F12" s="40" t="n"/>
      <c r="G12" s="41" t="n"/>
      <c r="H12" s="41" t="n"/>
      <c r="I12" s="15" t="inlineStr">
        <is>
          <t>MAXÍDOMINI</t>
        </is>
      </c>
      <c r="J12" s="42" t="n"/>
      <c r="K12" s="42" t="n"/>
      <c r="L12" s="42">
        <f>IF(J12="","",J12+IF(K12="",0,K12))</f>
        <v/>
      </c>
      <c r="M12" s="43" t="n"/>
      <c r="N12" s="44" t="n"/>
      <c r="O12" s="18" t="inlineStr">
        <is>
          <t>CAIXA ELO</t>
        </is>
      </c>
      <c r="P12" s="45" t="n"/>
      <c r="Q12" s="45" t="n"/>
      <c r="R12" s="45">
        <f>IF(P12="","",P12-IF(Q12="",0,Q12))</f>
        <v/>
      </c>
      <c r="S12" s="45" t="n"/>
      <c r="T12" s="45">
        <f>IF(Q12="","",Q12+IF(S12="",0,S12))</f>
        <v/>
      </c>
      <c r="U12" s="46" t="n"/>
      <c r="V12" s="47" t="n"/>
    </row>
    <row r="13" ht="20" customHeight="1">
      <c r="A13" s="48" t="inlineStr"/>
      <c r="B13" s="49" t="n"/>
      <c r="C13" s="50" t="n"/>
      <c r="D13" s="51" t="n"/>
      <c r="E13" s="52" t="inlineStr"/>
      <c r="F13" s="53" t="n"/>
      <c r="G13" s="54" t="n"/>
      <c r="H13" s="54" t="n"/>
      <c r="I13" s="55" t="inlineStr">
        <is>
          <t>COSANPA/ÁGUA</t>
        </is>
      </c>
      <c r="J13" s="56" t="n"/>
      <c r="K13" s="56" t="n"/>
      <c r="L13" s="56">
        <f>IF(J13="","",J13+IF(K13="",0,K13))</f>
        <v/>
      </c>
      <c r="M13" s="57" t="n"/>
      <c r="N13" s="58" t="n"/>
      <c r="O13" s="59" t="inlineStr">
        <is>
          <t>Bradesco</t>
        </is>
      </c>
      <c r="P13" s="60" t="n"/>
      <c r="Q13" s="60" t="n"/>
      <c r="R13" s="60">
        <f>IF(P13="","",P13-IF(Q13="",0,Q13))</f>
        <v/>
      </c>
      <c r="S13" s="60" t="n"/>
      <c r="T13" s="60">
        <f>IF(Q13="","",Q13+IF(S13="",0,S13))</f>
        <v/>
      </c>
      <c r="U13" s="61" t="n"/>
      <c r="V13" s="62" t="n"/>
    </row>
    <row r="14" ht="20" customHeight="1">
      <c r="A14" s="6" t="inlineStr"/>
      <c r="B14" s="37" t="n"/>
      <c r="C14" s="38" t="n"/>
      <c r="D14" s="39" t="n"/>
      <c r="E14" s="9" t="inlineStr"/>
      <c r="F14" s="40" t="n"/>
      <c r="G14" s="41" t="n"/>
      <c r="H14" s="41" t="n"/>
      <c r="I14" s="15" t="inlineStr">
        <is>
          <t>ESCOLA SALMOM</t>
        </is>
      </c>
      <c r="J14" s="42" t="n"/>
      <c r="K14" s="42" t="n"/>
      <c r="L14" s="42">
        <f>IF(J14="","",J14+IF(K14="",0,K14))</f>
        <v/>
      </c>
      <c r="M14" s="43" t="n"/>
      <c r="N14" s="44" t="n"/>
      <c r="O14" s="18" t="inlineStr">
        <is>
          <t>RecargaPay</t>
        </is>
      </c>
      <c r="P14" s="45" t="n"/>
      <c r="Q14" s="45" t="n"/>
      <c r="R14" s="45">
        <f>IF(P14="","",P14-IF(Q14="",0,Q14))</f>
        <v/>
      </c>
      <c r="S14" s="45" t="n"/>
      <c r="T14" s="45">
        <f>IF(Q14="","",Q14+IF(S14="",0,S14))</f>
        <v/>
      </c>
      <c r="U14" s="46" t="n"/>
      <c r="V14" s="47" t="n"/>
    </row>
    <row r="15" ht="20" customHeight="1">
      <c r="A15" s="48" t="inlineStr"/>
      <c r="B15" s="49" t="n"/>
      <c r="C15" s="50" t="n"/>
      <c r="D15" s="51" t="n"/>
      <c r="E15" s="52" t="inlineStr"/>
      <c r="F15" s="53" t="n"/>
      <c r="G15" s="54" t="n"/>
      <c r="H15" s="54" t="n"/>
      <c r="I15" s="55" t="inlineStr">
        <is>
          <t>CORECON</t>
        </is>
      </c>
      <c r="J15" s="56" t="n"/>
      <c r="K15" s="56" t="n"/>
      <c r="L15" s="56">
        <f>IF(J15="","",J15+IF(K15="",0,K15))</f>
        <v/>
      </c>
      <c r="M15" s="57" t="n"/>
      <c r="N15" s="58" t="n"/>
      <c r="O15" s="59" t="inlineStr">
        <is>
          <t>BipaCard</t>
        </is>
      </c>
      <c r="P15" s="60" t="n"/>
      <c r="Q15" s="60" t="n"/>
      <c r="R15" s="60">
        <f>IF(P15="","",P15-IF(Q15="",0,Q15))</f>
        <v/>
      </c>
      <c r="S15" s="60" t="n"/>
      <c r="T15" s="60">
        <f>IF(Q15="","",Q15+IF(S15="",0,S15))</f>
        <v/>
      </c>
      <c r="U15" s="61" t="n"/>
      <c r="V15" s="62" t="n"/>
    </row>
    <row r="16" ht="20" customHeight="1">
      <c r="A16" s="6" t="inlineStr"/>
      <c r="B16" s="37" t="n"/>
      <c r="C16" s="38" t="n"/>
      <c r="D16" s="39" t="n"/>
      <c r="E16" s="9" t="inlineStr"/>
      <c r="F16" s="40" t="n"/>
      <c r="G16" s="41" t="n"/>
      <c r="H16" s="41" t="n"/>
      <c r="I16" s="15" t="inlineStr">
        <is>
          <t>Boticário</t>
        </is>
      </c>
      <c r="J16" s="42" t="n"/>
      <c r="K16" s="42" t="n"/>
      <c r="L16" s="42">
        <f>IF(J16="","",J16+IF(K16="",0,K16))</f>
        <v/>
      </c>
      <c r="M16" s="43" t="n"/>
      <c r="N16" s="44" t="n"/>
      <c r="O16" s="18" t="inlineStr">
        <is>
          <t>InfinitCard</t>
        </is>
      </c>
      <c r="P16" s="45" t="n"/>
      <c r="Q16" s="45" t="n"/>
      <c r="R16" s="45">
        <f>IF(P16="","",P16-IF(Q16="",0,Q16))</f>
        <v/>
      </c>
      <c r="S16" s="45" t="n"/>
      <c r="T16" s="45">
        <f>IF(Q16="","",Q16+IF(S16="",0,S16))</f>
        <v/>
      </c>
      <c r="U16" s="46" t="n"/>
      <c r="V16" s="47" t="n"/>
    </row>
    <row r="17" ht="20" customHeight="1">
      <c r="A17" s="48" t="inlineStr"/>
      <c r="B17" s="49" t="n"/>
      <c r="C17" s="50" t="n"/>
      <c r="D17" s="51" t="n"/>
      <c r="E17" s="52" t="inlineStr"/>
      <c r="F17" s="53" t="n"/>
      <c r="G17" s="54" t="n"/>
      <c r="H17" s="54" t="n"/>
      <c r="I17" s="55" t="inlineStr">
        <is>
          <t>Rodobens</t>
        </is>
      </c>
      <c r="J17" s="56" t="n"/>
      <c r="K17" s="56" t="n"/>
      <c r="L17" s="56">
        <f>IF(J17="","",J17+IF(K17="",0,K17))</f>
        <v/>
      </c>
      <c r="M17" s="57" t="n"/>
      <c r="N17" s="58" t="n"/>
      <c r="O17" s="59" t="inlineStr">
        <is>
          <t>Pagbank</t>
        </is>
      </c>
      <c r="P17" s="60" t="n"/>
      <c r="Q17" s="60" t="n"/>
      <c r="R17" s="60">
        <f>IF(P17="","",P17-IF(Q17="",0,Q17))</f>
        <v/>
      </c>
      <c r="S17" s="60" t="n"/>
      <c r="T17" s="60">
        <f>IF(Q17="","",Q17+IF(S17="",0,S17))</f>
        <v/>
      </c>
      <c r="U17" s="61" t="n"/>
      <c r="V17" s="62" t="n"/>
    </row>
    <row r="18" ht="20" customHeight="1">
      <c r="A18" s="6" t="inlineStr"/>
      <c r="B18" s="37" t="n"/>
      <c r="C18" s="38" t="n"/>
      <c r="D18" s="39" t="n"/>
      <c r="E18" s="9" t="inlineStr"/>
      <c r="F18" s="40" t="n"/>
      <c r="G18" s="41" t="n"/>
      <c r="H18" s="41" t="n"/>
      <c r="I18" s="15" t="inlineStr"/>
      <c r="J18" s="42" t="n"/>
      <c r="K18" s="42" t="n"/>
      <c r="L18" s="42">
        <f>IF(J18="","",J18+IF(K18="",0,K18))</f>
        <v/>
      </c>
      <c r="M18" s="43" t="n"/>
      <c r="N18" s="44" t="n"/>
      <c r="O18" s="18" t="inlineStr">
        <is>
          <t>TonCard</t>
        </is>
      </c>
      <c r="P18" s="45" t="n"/>
      <c r="Q18" s="45" t="n"/>
      <c r="R18" s="45">
        <f>IF(P18="","",P18-IF(Q18="",0,Q18))</f>
        <v/>
      </c>
      <c r="S18" s="45" t="n"/>
      <c r="T18" s="45">
        <f>IF(Q18="","",Q18+IF(S18="",0,S18))</f>
        <v/>
      </c>
      <c r="U18" s="46" t="n"/>
      <c r="V18" s="47" t="n"/>
    </row>
    <row r="19" ht="20" customHeight="1">
      <c r="A19" s="48" t="inlineStr"/>
      <c r="B19" s="49" t="n"/>
      <c r="C19" s="50" t="n"/>
      <c r="D19" s="51" t="n"/>
      <c r="E19" s="52" t="inlineStr"/>
      <c r="F19" s="53" t="n"/>
      <c r="G19" s="54" t="n"/>
      <c r="H19" s="54" t="n"/>
      <c r="I19" s="55" t="inlineStr"/>
      <c r="J19" s="56" t="n"/>
      <c r="K19" s="56" t="n"/>
      <c r="L19" s="56">
        <f>IF(J19="","",J19+IF(K19="",0,K19))</f>
        <v/>
      </c>
      <c r="M19" s="57" t="n"/>
      <c r="N19" s="58" t="n"/>
      <c r="O19" s="59" t="inlineStr"/>
      <c r="P19" s="60" t="n"/>
      <c r="Q19" s="60" t="n"/>
      <c r="R19" s="60">
        <f>IF(P19="","",P19-IF(Q19="",0,Q19))</f>
        <v/>
      </c>
      <c r="S19" s="60" t="n"/>
      <c r="T19" s="60">
        <f>IF(Q19="","",Q19+IF(S19="",0,S19))</f>
        <v/>
      </c>
      <c r="U19" s="61" t="n"/>
      <c r="V19" s="62" t="n"/>
    </row>
    <row r="20" ht="22" customHeight="1">
      <c r="A20" s="63" t="inlineStr">
        <is>
          <t>RECEITA TOTAL</t>
        </is>
      </c>
      <c r="B20" s="8">
        <f>SUM(B4:B19)</f>
        <v/>
      </c>
      <c r="C20" s="64" t="n"/>
      <c r="D20" s="64" t="n"/>
      <c r="E20" s="65" t="inlineStr">
        <is>
          <t>TOTAL DESCONTOS</t>
        </is>
      </c>
      <c r="F20" s="11">
        <f>SUM(F4:F19)</f>
        <v/>
      </c>
      <c r="G20" s="66" t="n"/>
      <c r="H20" s="66" t="n"/>
      <c r="I20" s="67" t="inlineStr">
        <is>
          <t>TOTAL FIXAS (CET)</t>
        </is>
      </c>
      <c r="J20" s="21">
        <f>SUM(J4:J19)</f>
        <v/>
      </c>
      <c r="K20" s="21">
        <f>SUM(K4:K19)</f>
        <v/>
      </c>
      <c r="L20" s="21">
        <f>SUM(L4:L19)</f>
        <v/>
      </c>
      <c r="M20" s="68" t="n"/>
      <c r="N20" s="68" t="n"/>
      <c r="O20" s="69" t="inlineStr">
        <is>
          <t>TOTAL CARTÕES</t>
        </is>
      </c>
      <c r="P20" s="70">
        <f>SUM(P4:P19)</f>
        <v/>
      </c>
      <c r="Q20" s="70">
        <f>SUM(Q4:Q19)</f>
        <v/>
      </c>
      <c r="R20" s="70">
        <f>SUM(R4:R19)</f>
        <v/>
      </c>
      <c r="S20" s="70">
        <f>SUM(S4:S19)</f>
        <v/>
      </c>
      <c r="T20" s="70">
        <f>SUM(T4:T19)</f>
        <v/>
      </c>
      <c r="U20" s="71" t="n"/>
      <c r="V20" s="71" t="n"/>
    </row>
    <row r="21">
      <c r="O21" s="72" t="inlineStr">
        <is>
          <t>¹ SALDO = Fatura − Pago  (valor não quitado = nova dívida do mês)</t>
        </is>
      </c>
    </row>
    <row r="22" ht="22" customHeight="1">
      <c r="A22" s="73" t="inlineStr">
        <is>
          <t>ASSINATURAS ONLINE</t>
        </is>
      </c>
      <c r="F22" s="73" t="inlineStr">
        <is>
          <t>NOTAS / EMPRÉSTIMOS / CONSIGNADOS</t>
        </is>
      </c>
    </row>
    <row r="23" ht="20" customHeight="1">
      <c r="A23" s="74" t="inlineStr">
        <is>
          <t>CARTÃO</t>
        </is>
      </c>
      <c r="B23" s="74" t="inlineStr">
        <is>
          <t>SERVIÇO</t>
        </is>
      </c>
      <c r="C23" s="74" t="inlineStr">
        <is>
          <t>VALOR</t>
        </is>
      </c>
      <c r="D23" s="74" t="inlineStr">
        <is>
          <t>DIA/SITUAÇÃO</t>
        </is>
      </c>
      <c r="F23" s="74" t="inlineStr">
        <is>
          <t>DESCRIÇÃO</t>
        </is>
      </c>
      <c r="G23" s="74" t="inlineStr">
        <is>
          <t>TAXA (am)</t>
        </is>
      </c>
      <c r="H23" s="74" t="inlineStr">
        <is>
          <t>TAXA (aa)</t>
        </is>
      </c>
      <c r="I23" s="74" t="inlineStr">
        <is>
          <t>OBS / SALDO</t>
        </is>
      </c>
    </row>
    <row r="24" ht="18" customHeight="1">
      <c r="A24" s="75" t="inlineStr">
        <is>
          <t>NU</t>
        </is>
      </c>
      <c r="B24" s="22" t="inlineStr">
        <is>
          <t>GDRIVE SABRI</t>
        </is>
      </c>
      <c r="C24" s="23" t="n">
        <v>49.9</v>
      </c>
      <c r="D24" s="22" t="inlineStr">
        <is>
          <t>DIA 04 — CRÉDITO (NU)</t>
        </is>
      </c>
      <c r="F24" s="22" t="inlineStr">
        <is>
          <t>Consignado Nubank 1</t>
        </is>
      </c>
      <c r="G24" s="75" t="inlineStr">
        <is>
          <t>1.30% am</t>
        </is>
      </c>
      <c r="H24" s="75" t="inlineStr">
        <is>
          <t>16.74% aa</t>
        </is>
      </c>
      <c r="I24" s="22" t="inlineStr">
        <is>
          <t>73x</t>
        </is>
      </c>
    </row>
    <row r="25" ht="18" customHeight="1">
      <c r="A25" s="76" t="inlineStr">
        <is>
          <t>NU</t>
        </is>
      </c>
      <c r="B25" s="77" t="inlineStr">
        <is>
          <t>CONTA TIM</t>
        </is>
      </c>
      <c r="C25" s="78" t="n">
        <v>42</v>
      </c>
      <c r="D25" s="77" t="inlineStr">
        <is>
          <t>DIA 15 — PG MANUAL</t>
        </is>
      </c>
      <c r="F25" s="77" t="inlineStr">
        <is>
          <t>Consignado Nubank 2</t>
        </is>
      </c>
      <c r="G25" s="76" t="inlineStr">
        <is>
          <t>1.57% am</t>
        </is>
      </c>
      <c r="H25" s="76" t="inlineStr">
        <is>
          <t>21.85% aa</t>
        </is>
      </c>
      <c r="I25" s="77" t="inlineStr">
        <is>
          <t>96x — saldo R$776,82</t>
        </is>
      </c>
    </row>
    <row r="26" ht="18" customHeight="1">
      <c r="A26" s="75" t="inlineStr">
        <is>
          <t>SANTANDER SX</t>
        </is>
      </c>
      <c r="B26" s="22" t="inlineStr">
        <is>
          <t>PLANO CLARO</t>
        </is>
      </c>
      <c r="C26" s="23" t="n">
        <v>73.73</v>
      </c>
      <c r="D26" s="22" t="inlineStr">
        <is>
          <t>DIA 09 — PG MANUAL</t>
        </is>
      </c>
      <c r="F26" s="22" t="inlineStr">
        <is>
          <t>Fin. Habitação CAIXA</t>
        </is>
      </c>
      <c r="G26" s="75" t="inlineStr">
        <is>
          <t>7% nominal</t>
        </is>
      </c>
      <c r="H26" s="75" t="inlineStr"/>
      <c r="I26" s="22" t="inlineStr"/>
    </row>
    <row r="27" ht="18" customHeight="1">
      <c r="A27" s="76" t="inlineStr">
        <is>
          <t>NU</t>
        </is>
      </c>
      <c r="B27" s="77" t="inlineStr">
        <is>
          <t>YOUTUBE ST</t>
        </is>
      </c>
      <c r="C27" s="78" t="n">
        <v>53.9</v>
      </c>
      <c r="D27" s="77" t="inlineStr">
        <is>
          <t>DIA 25 — CRÉDITO (NU)</t>
        </is>
      </c>
      <c r="F27" s="77" t="inlineStr">
        <is>
          <t>Empréstimo Sabrina</t>
        </is>
      </c>
      <c r="G27" s="76" t="inlineStr"/>
      <c r="H27" s="76" t="inlineStr"/>
      <c r="I27" s="77" t="inlineStr">
        <is>
          <t>saldo R$2.503,46</t>
        </is>
      </c>
    </row>
    <row r="28" ht="18" customHeight="1">
      <c r="A28" s="75" t="inlineStr">
        <is>
          <t>NU</t>
        </is>
      </c>
      <c r="B28" s="22" t="inlineStr">
        <is>
          <t>ICLOUD</t>
        </is>
      </c>
      <c r="C28" s="23" t="n">
        <v>5.9</v>
      </c>
      <c r="D28" s="22" t="inlineStr">
        <is>
          <t>DIA 01 — CRÉDITO (NU)</t>
        </is>
      </c>
      <c r="F28" s="22" t="inlineStr">
        <is>
          <t>Empréstimo Josy</t>
        </is>
      </c>
      <c r="G28" s="75" t="inlineStr"/>
      <c r="H28" s="75" t="inlineStr"/>
      <c r="I28" s="22" t="inlineStr"/>
    </row>
    <row r="29" ht="18" customHeight="1">
      <c r="A29" s="76" t="inlineStr"/>
      <c r="B29" s="77" t="inlineStr">
        <is>
          <t>Serasa</t>
        </is>
      </c>
      <c r="C29" s="78" t="n">
        <v>23.9</v>
      </c>
      <c r="D29" s="77" t="inlineStr">
        <is>
          <t xml:space="preserve">DIA 17 — </t>
        </is>
      </c>
      <c r="F29" s="77" t="inlineStr"/>
      <c r="G29" s="76" t="inlineStr"/>
      <c r="H29" s="76" t="inlineStr"/>
      <c r="I29" s="77" t="inlineStr"/>
    </row>
    <row r="30" ht="18" customHeight="1">
      <c r="A30" s="75" t="inlineStr"/>
      <c r="B30" s="22" t="inlineStr">
        <is>
          <t>Kindle</t>
        </is>
      </c>
      <c r="C30" s="23" t="n">
        <v>24</v>
      </c>
      <c r="D30" s="22" t="inlineStr"/>
      <c r="F30" s="22" t="inlineStr"/>
      <c r="G30" s="75" t="inlineStr"/>
      <c r="H30" s="75" t="inlineStr"/>
      <c r="I30" s="22" t="inlineStr"/>
    </row>
    <row r="31" ht="18" customHeight="1">
      <c r="A31" s="76" t="inlineStr">
        <is>
          <t>NU</t>
        </is>
      </c>
      <c r="B31" s="77" t="inlineStr">
        <is>
          <t>GPT</t>
        </is>
      </c>
      <c r="C31" s="78" t="n">
        <v>130</v>
      </c>
      <c r="D31" s="77" t="inlineStr">
        <is>
          <t>DIA 02 — CRÉDITO (NU)</t>
        </is>
      </c>
    </row>
    <row r="32" ht="18" customHeight="1">
      <c r="A32" s="75" t="inlineStr">
        <is>
          <t>NU</t>
        </is>
      </c>
      <c r="B32" s="22" t="inlineStr">
        <is>
          <t>Copilot</t>
        </is>
      </c>
      <c r="C32" s="23" t="n">
        <v>109.9</v>
      </c>
      <c r="D32" s="22" t="inlineStr">
        <is>
          <t>DIA 04 — CRÉDITO (NU)</t>
        </is>
      </c>
    </row>
    <row r="33" ht="18" customHeight="1">
      <c r="A33" s="76" t="inlineStr">
        <is>
          <t>NU</t>
        </is>
      </c>
      <c r="B33" s="77" t="inlineStr">
        <is>
          <t>WORD</t>
        </is>
      </c>
      <c r="C33" s="78" t="n">
        <v>0</v>
      </c>
      <c r="D33" s="77" t="inlineStr">
        <is>
          <t>Anual — CRÉDITO (NU)</t>
        </is>
      </c>
    </row>
    <row r="34" ht="18" customHeight="1">
      <c r="A34" s="75" t="inlineStr">
        <is>
          <t>NU</t>
        </is>
      </c>
      <c r="B34" s="22" t="inlineStr">
        <is>
          <t>GDRIVE EWE</t>
        </is>
      </c>
      <c r="C34" s="23" t="n">
        <v>0</v>
      </c>
      <c r="D34" s="22" t="inlineStr">
        <is>
          <t>Ago/26 — CRÉDITO (NU)</t>
        </is>
      </c>
    </row>
    <row r="35" ht="18" customHeight="1">
      <c r="A35" s="76" t="inlineStr"/>
      <c r="B35" s="77" t="inlineStr">
        <is>
          <t>PDFVIEW</t>
        </is>
      </c>
      <c r="C35" s="78" t="n">
        <v>0</v>
      </c>
      <c r="D35" s="77" t="inlineStr">
        <is>
          <t>CRÉDITO (NU)</t>
        </is>
      </c>
    </row>
    <row r="36" ht="20" customHeight="1">
      <c r="A36" s="79" t="inlineStr">
        <is>
          <t>TOTAL ASSINATURAS</t>
        </is>
      </c>
      <c r="C36" s="24">
        <f>SUM(C24:C35)</f>
        <v/>
      </c>
      <c r="D36" s="3" t="n"/>
    </row>
    <row r="38" ht="22" customHeight="1">
      <c r="A38" s="80" t="inlineStr">
        <is>
          <t>CHEQUE ESPECIAL / DÍVIDAS FINANCEIRAS</t>
        </is>
      </c>
    </row>
    <row r="39" ht="22" customHeight="1">
      <c r="A39" s="35" t="inlineStr">
        <is>
          <t>BANCO</t>
        </is>
      </c>
      <c r="B39" s="35" t="inlineStr">
        <is>
          <t>LIMITE</t>
        </is>
      </c>
      <c r="C39" s="35" t="inlineStr">
        <is>
          <t>USADO</t>
        </is>
      </c>
      <c r="D39" s="35" t="inlineStr">
        <is>
          <t>JUROS MÊS</t>
        </is>
      </c>
      <c r="E39" s="35" t="inlineStr">
        <is>
          <t>TAXA % aa</t>
        </is>
      </c>
      <c r="F39" s="35" t="inlineStr">
        <is>
          <t>DIAS</t>
        </is>
      </c>
      <c r="G39" s="35" t="inlineStr">
        <is>
          <t>SITUAÇÃO</t>
        </is>
      </c>
    </row>
    <row r="40" ht="19" customHeight="1">
      <c r="A40" s="15" t="inlineStr">
        <is>
          <t>BB</t>
        </is>
      </c>
      <c r="B40" s="16" t="n"/>
      <c r="C40" s="16" t="n"/>
      <c r="D40" s="16" t="n"/>
      <c r="E40" s="81" t="n"/>
      <c r="F40" s="81" t="n"/>
      <c r="G40" s="81" t="n"/>
    </row>
    <row r="41" ht="19" customHeight="1">
      <c r="A41" s="55" t="inlineStr">
        <is>
          <t>Santander</t>
        </is>
      </c>
      <c r="B41" s="82" t="n"/>
      <c r="C41" s="82" t="n"/>
      <c r="D41" s="82" t="n"/>
      <c r="E41" s="83" t="n"/>
      <c r="F41" s="83" t="n"/>
      <c r="G41" s="83" t="n"/>
    </row>
    <row r="42" ht="19" customHeight="1">
      <c r="A42" s="15" t="inlineStr">
        <is>
          <t>Caixa</t>
        </is>
      </c>
      <c r="B42" s="16" t="n"/>
      <c r="C42" s="16" t="n"/>
      <c r="D42" s="16" t="n"/>
      <c r="E42" s="81" t="n"/>
      <c r="F42" s="81" t="n"/>
      <c r="G42" s="81" t="n"/>
    </row>
    <row r="43" ht="19" customHeight="1">
      <c r="A43" s="55" t="inlineStr">
        <is>
          <t>Itaú</t>
        </is>
      </c>
      <c r="B43" s="82" t="n"/>
      <c r="C43" s="82" t="n"/>
      <c r="D43" s="82" t="n"/>
      <c r="E43" s="83" t="n"/>
      <c r="F43" s="83" t="n"/>
      <c r="G43" s="83" t="n"/>
    </row>
    <row r="44" ht="19" customHeight="1">
      <c r="A44" s="15" t="inlineStr">
        <is>
          <t>Bradesco</t>
        </is>
      </c>
      <c r="B44" s="16" t="n"/>
      <c r="C44" s="16" t="n"/>
      <c r="D44" s="16" t="n"/>
      <c r="E44" s="81" t="n"/>
      <c r="F44" s="81" t="n"/>
      <c r="G44" s="81" t="n"/>
    </row>
    <row r="45" ht="20" customHeight="1">
      <c r="A45" s="67" t="inlineStr">
        <is>
          <t>TOTAL CHEQUE ESPECIAL</t>
        </is>
      </c>
      <c r="C45" s="21">
        <f>SUM(C40:C44)</f>
        <v/>
      </c>
      <c r="D45" s="21">
        <f>SUM(D40:D44)</f>
        <v/>
      </c>
      <c r="E45" s="84" t="n"/>
      <c r="F45" s="84" t="n"/>
      <c r="G45" s="84" t="n"/>
    </row>
    <row r="47" ht="28" customHeight="1">
      <c r="A47" s="28" t="inlineStr">
        <is>
          <t xml:space="preserve">  ══  RESULTADO DO MÊS  ══</t>
        </is>
      </c>
    </row>
    <row r="48" ht="19" customHeight="1">
      <c r="A48" s="6" t="inlineStr">
        <is>
          <t>Receita Bruta</t>
        </is>
      </c>
      <c r="F48" s="7">
        <f>B20</f>
        <v/>
      </c>
    </row>
    <row r="49" ht="19" customHeight="1">
      <c r="A49" s="9" t="inlineStr">
        <is>
          <t>(−) Descontos em Folha</t>
        </is>
      </c>
      <c r="F49" s="10">
        <f>F20</f>
        <v/>
      </c>
    </row>
    <row r="50" ht="24" customHeight="1">
      <c r="A50" s="85">
        <f> Receita Líquida</f>
        <v/>
      </c>
      <c r="F50" s="14">
        <f>F48-F49</f>
        <v/>
      </c>
    </row>
    <row r="51" ht="19" customHeight="1">
      <c r="A51" s="15" t="inlineStr">
        <is>
          <t>(−) Despesas Fixas (CET)</t>
        </is>
      </c>
      <c r="F51" s="16">
        <f>L20</f>
        <v/>
      </c>
    </row>
    <row r="52" ht="19" customHeight="1">
      <c r="A52" s="18" t="inlineStr">
        <is>
          <t>(−) Cartões — Valor Pago</t>
        </is>
      </c>
      <c r="F52" s="19">
        <f>Q20</f>
        <v/>
      </c>
    </row>
    <row r="53" ht="19" customHeight="1">
      <c r="A53" s="18" t="inlineStr">
        <is>
          <t>(−) Juros dos Cartões</t>
        </is>
      </c>
      <c r="F53" s="19">
        <f>S20</f>
        <v/>
      </c>
    </row>
    <row r="54" ht="19" customHeight="1">
      <c r="A54" s="15" t="inlineStr">
        <is>
          <t>(−) Juros Cheque Especial</t>
        </is>
      </c>
      <c r="F54" s="16">
        <f>D45</f>
        <v/>
      </c>
    </row>
    <row r="55" ht="19" customHeight="1">
      <c r="A55" s="22" t="inlineStr">
        <is>
          <t>(−) Assinaturas Online</t>
        </is>
      </c>
      <c r="F55" s="23">
        <f>C36</f>
        <v/>
      </c>
    </row>
    <row r="56" ht="24" customHeight="1">
      <c r="A56" s="86">
        <f> SALDO REAL DO MÊS</f>
        <v/>
      </c>
      <c r="F56" s="27">
        <f>F50-F51-F52-F53-F54-F55</f>
        <v/>
      </c>
    </row>
    <row r="57" ht="19" customHeight="1">
      <c r="A57" s="15" t="inlineStr">
        <is>
          <t>⚠  Nova Dívida (cartões não pagos)</t>
        </is>
      </c>
      <c r="F57" s="16">
        <f>R20</f>
        <v/>
      </c>
    </row>
    <row r="59" ht="22" customHeight="1">
      <c r="A59" s="73" t="inlineStr">
        <is>
          <t>CONTAS E SALDOS</t>
        </is>
      </c>
    </row>
    <row r="60" ht="18" customHeight="1">
      <c r="A60" s="74" t="inlineStr">
        <is>
          <t>BANCO / CARTEIRA</t>
        </is>
      </c>
      <c r="B60" s="74" t="inlineStr">
        <is>
          <t>SALDO (R$)</t>
        </is>
      </c>
      <c r="C60" s="74" t="inlineStr">
        <is>
          <t>OBS</t>
        </is>
      </c>
    </row>
    <row r="61" ht="18" customHeight="1">
      <c r="A61" s="22" t="inlineStr">
        <is>
          <t>Saldo CC BB</t>
        </is>
      </c>
      <c r="B61" s="23" t="n"/>
      <c r="C61" s="87" t="n"/>
    </row>
    <row r="62" ht="18" customHeight="1">
      <c r="A62" s="77" t="inlineStr">
        <is>
          <t>Santander</t>
        </is>
      </c>
      <c r="B62" s="78" t="n"/>
      <c r="C62" s="88" t="n"/>
    </row>
    <row r="63" ht="18" customHeight="1">
      <c r="A63" s="22" t="inlineStr">
        <is>
          <t>Caixa</t>
        </is>
      </c>
      <c r="B63" s="23" t="n"/>
      <c r="C63" s="87" t="n"/>
    </row>
    <row r="64" ht="18" customHeight="1">
      <c r="A64" s="77" t="inlineStr">
        <is>
          <t>Bipa</t>
        </is>
      </c>
      <c r="B64" s="78" t="n"/>
      <c r="C64" s="88" t="n"/>
    </row>
    <row r="65" ht="18" customHeight="1">
      <c r="A65" s="22" t="inlineStr">
        <is>
          <t>Nubank</t>
        </is>
      </c>
      <c r="B65" s="23" t="n"/>
      <c r="C65" s="87" t="n"/>
    </row>
    <row r="66" ht="18" customHeight="1">
      <c r="A66" s="77" t="inlineStr">
        <is>
          <t>Itaú</t>
        </is>
      </c>
      <c r="B66" s="78" t="n"/>
      <c r="C66" s="88" t="n"/>
    </row>
    <row r="67" ht="18" customHeight="1">
      <c r="A67" s="22" t="inlineStr">
        <is>
          <t>MP</t>
        </is>
      </c>
      <c r="B67" s="23" t="n"/>
      <c r="C67" s="87" t="n"/>
    </row>
    <row r="68" ht="18" customHeight="1">
      <c r="A68" s="77" t="inlineStr">
        <is>
          <t>KuCoin</t>
        </is>
      </c>
      <c r="B68" s="78" t="n"/>
      <c r="C68" s="88" t="n"/>
    </row>
    <row r="69" ht="18" customHeight="1">
      <c r="A69" s="22" t="inlineStr">
        <is>
          <t>Ton</t>
        </is>
      </c>
      <c r="B69" s="23" t="n"/>
      <c r="C69" s="87" t="n"/>
    </row>
    <row r="70" ht="18" customHeight="1">
      <c r="A70" s="77" t="inlineStr">
        <is>
          <t>Picpay</t>
        </is>
      </c>
      <c r="B70" s="78" t="n"/>
      <c r="C70" s="88" t="n"/>
    </row>
    <row r="71" ht="18" customHeight="1">
      <c r="A71" s="22" t="inlineStr">
        <is>
          <t>Recargapay</t>
        </is>
      </c>
      <c r="B71" s="23" t="n"/>
      <c r="C71" s="87" t="n"/>
    </row>
    <row r="72" ht="18" customHeight="1">
      <c r="A72" s="77" t="inlineStr">
        <is>
          <t>Infinitepay</t>
        </is>
      </c>
      <c r="B72" s="78" t="n"/>
      <c r="C72" s="88" t="n"/>
    </row>
    <row r="73" ht="18" customHeight="1">
      <c r="A73" s="22" t="inlineStr">
        <is>
          <t>PagBank</t>
        </is>
      </c>
      <c r="B73" s="23" t="n"/>
      <c r="C73" s="87" t="n"/>
    </row>
    <row r="74" ht="18" customHeight="1">
      <c r="A74" s="77" t="inlineStr">
        <is>
          <t>C6 BANK</t>
        </is>
      </c>
      <c r="B74" s="78" t="n"/>
      <c r="C74" s="88" t="n"/>
    </row>
    <row r="75" ht="18" customHeight="1">
      <c r="A75" s="22" t="inlineStr">
        <is>
          <t>INTER</t>
        </is>
      </c>
      <c r="B75" s="23" t="n"/>
      <c r="C75" s="87" t="n"/>
    </row>
    <row r="76" ht="18" customHeight="1">
      <c r="A76" s="77" t="inlineStr">
        <is>
          <t>Bradesco</t>
        </is>
      </c>
      <c r="B76" s="78" t="n"/>
      <c r="C76" s="88" t="n"/>
    </row>
    <row r="77" ht="18" customHeight="1">
      <c r="A77" s="22" t="inlineStr">
        <is>
          <t>BTG</t>
        </is>
      </c>
      <c r="B77" s="23" t="n"/>
      <c r="C77" s="87" t="n"/>
    </row>
    <row r="78" ht="20" customHeight="1">
      <c r="A78" s="79" t="inlineStr">
        <is>
          <t>TOTAL EM CONTAS</t>
        </is>
      </c>
      <c r="B78" s="24">
        <f>SUM(B61:B77)</f>
        <v/>
      </c>
      <c r="C78" s="3" t="n"/>
    </row>
  </sheetData>
  <mergeCells count="23">
    <mergeCell ref="A48:E48"/>
    <mergeCell ref="A22:D22"/>
    <mergeCell ref="A45:B45"/>
    <mergeCell ref="A49:E49"/>
    <mergeCell ref="A51:E51"/>
    <mergeCell ref="A36:B36"/>
    <mergeCell ref="A38:G38"/>
    <mergeCell ref="A47:F47"/>
    <mergeCell ref="A54:E54"/>
    <mergeCell ref="A56:E56"/>
    <mergeCell ref="A55:E55"/>
    <mergeCell ref="A50:E50"/>
    <mergeCell ref="A57:E57"/>
    <mergeCell ref="A1:V1"/>
    <mergeCell ref="O21:V21"/>
    <mergeCell ref="A59:C59"/>
    <mergeCell ref="A53:E53"/>
    <mergeCell ref="I2:N2"/>
    <mergeCell ref="O2:V2"/>
    <mergeCell ref="A52:E52"/>
    <mergeCell ref="A2:D2"/>
    <mergeCell ref="E2:H2"/>
    <mergeCell ref="F22:I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3" customWidth="1" min="3" max="3"/>
    <col width="12" customWidth="1" min="4" max="4"/>
    <col width="24" customWidth="1" min="5" max="5"/>
    <col width="14" customWidth="1" min="6" max="6"/>
    <col width="13" customWidth="1" min="7" max="7"/>
    <col width="13" customWidth="1" min="8" max="8"/>
    <col width="24" customWidth="1" min="9" max="9"/>
    <col width="12" customWidth="1" min="10" max="10"/>
    <col width="9" customWidth="1" min="11" max="11"/>
    <col width="12" customWidth="1" min="12" max="12"/>
    <col width="13" customWidth="1" min="13" max="13"/>
    <col width="12" customWidth="1" min="14" max="14"/>
    <col width="16" customWidth="1" min="15" max="15"/>
    <col width="14" customWidth="1" min="16" max="16"/>
    <col width="14" customWidth="1" min="17" max="17"/>
    <col width="12" customWidth="1" min="18" max="18"/>
    <col width="9" customWidth="1" min="19" max="19"/>
    <col width="12" customWidth="1" min="20" max="20"/>
    <col width="13" customWidth="1" min="21" max="21"/>
    <col width="16" customWidth="1" min="22" max="22"/>
  </cols>
  <sheetData>
    <row r="1" ht="30" customHeight="1">
      <c r="A1" s="28" t="inlineStr">
        <is>
          <t>ORÇAMENTO  SETEMBRO  2026</t>
        </is>
      </c>
    </row>
    <row r="2" ht="22" customHeight="1">
      <c r="A2" s="29" t="inlineStr">
        <is>
          <t>▶  FONTES DE RECEITA</t>
        </is>
      </c>
      <c r="E2" s="30" t="inlineStr">
        <is>
          <t>▶  DESCONTOS EM FOLHA</t>
        </is>
      </c>
      <c r="I2" s="31" t="inlineStr">
        <is>
          <t>▶  DESPESAS FIXAS</t>
        </is>
      </c>
      <c r="O2" s="32" t="inlineStr">
        <is>
          <t>▶  DESPESAS COM CARTÕES</t>
        </is>
      </c>
    </row>
    <row r="3" ht="26" customHeight="1">
      <c r="A3" s="33" t="inlineStr">
        <is>
          <t>ORIGEM</t>
        </is>
      </c>
      <c r="B3" s="33" t="inlineStr">
        <is>
          <t>VALOR</t>
        </is>
      </c>
      <c r="C3" s="33" t="inlineStr">
        <is>
          <t>SITUAÇÃO</t>
        </is>
      </c>
      <c r="D3" s="33" t="inlineStr">
        <is>
          <t>DATA PG</t>
        </is>
      </c>
      <c r="E3" s="34" t="inlineStr">
        <is>
          <t>ORIGEM</t>
        </is>
      </c>
      <c r="F3" s="34" t="inlineStr">
        <is>
          <t>VALOR</t>
        </is>
      </c>
      <c r="G3" s="34" t="inlineStr">
        <is>
          <t>INFO</t>
        </is>
      </c>
      <c r="H3" s="34" t="inlineStr">
        <is>
          <t>OBS</t>
        </is>
      </c>
      <c r="I3" s="35" t="inlineStr">
        <is>
          <t>ORIGEM</t>
        </is>
      </c>
      <c r="J3" s="35" t="inlineStr">
        <is>
          <t>VALOR</t>
        </is>
      </c>
      <c r="K3" s="35" t="inlineStr">
        <is>
          <t>JUROS</t>
        </is>
      </c>
      <c r="L3" s="35" t="inlineStr">
        <is>
          <t>CET</t>
        </is>
      </c>
      <c r="M3" s="35" t="inlineStr">
        <is>
          <t>SITUAÇÃO</t>
        </is>
      </c>
      <c r="N3" s="35" t="inlineStr">
        <is>
          <t>DATA PG</t>
        </is>
      </c>
      <c r="O3" s="36" t="inlineStr">
        <is>
          <t>CARTÃO</t>
        </is>
      </c>
      <c r="P3" s="36" t="inlineStr">
        <is>
          <t>FATURA</t>
        </is>
      </c>
      <c r="Q3" s="36" t="inlineStr">
        <is>
          <t>PAGO</t>
        </is>
      </c>
      <c r="R3" s="36" t="inlineStr">
        <is>
          <t>SALDO¹</t>
        </is>
      </c>
      <c r="S3" s="36" t="inlineStr">
        <is>
          <t>JUROS</t>
        </is>
      </c>
      <c r="T3" s="36" t="inlineStr">
        <is>
          <t>CET</t>
        </is>
      </c>
      <c r="U3" s="36" t="inlineStr">
        <is>
          <t>SITUAÇÃO</t>
        </is>
      </c>
      <c r="V3" s="36" t="inlineStr">
        <is>
          <t>DATA PG</t>
        </is>
      </c>
    </row>
    <row r="4" ht="20" customHeight="1">
      <c r="A4" s="6" t="inlineStr">
        <is>
          <t>SALÁRIO</t>
        </is>
      </c>
      <c r="B4" s="37" t="n"/>
      <c r="C4" s="38" t="n"/>
      <c r="D4" s="39" t="n"/>
      <c r="E4" s="9" t="inlineStr">
        <is>
          <t>Consignado V.Nbk</t>
        </is>
      </c>
      <c r="F4" s="40" t="n"/>
      <c r="G4" s="41" t="n"/>
      <c r="H4" s="41" t="n"/>
      <c r="I4" s="15" t="inlineStr">
        <is>
          <t>HAPVIDA/SALMINHO</t>
        </is>
      </c>
      <c r="J4" s="42" t="n"/>
      <c r="K4" s="42" t="n"/>
      <c r="L4" s="42">
        <f>IF(J4="","",J4+IF(K4="",0,K4))</f>
        <v/>
      </c>
      <c r="M4" s="43" t="n"/>
      <c r="N4" s="44" t="n"/>
      <c r="O4" s="18" t="inlineStr">
        <is>
          <t>BB</t>
        </is>
      </c>
      <c r="P4" s="45" t="n"/>
      <c r="Q4" s="45" t="n"/>
      <c r="R4" s="45">
        <f>IF(P4="","",P4-IF(Q4="",0,Q4))</f>
        <v/>
      </c>
      <c r="S4" s="45" t="n"/>
      <c r="T4" s="45">
        <f>IF(Q4="","",Q4+IF(S4="",0,S4))</f>
        <v/>
      </c>
      <c r="U4" s="46" t="n"/>
      <c r="V4" s="47" t="n"/>
    </row>
    <row r="5" ht="20" customHeight="1">
      <c r="A5" s="48" t="inlineStr">
        <is>
          <t>Kalena OF/NET</t>
        </is>
      </c>
      <c r="B5" s="49" t="n"/>
      <c r="C5" s="50" t="n"/>
      <c r="D5" s="51" t="n"/>
      <c r="E5" s="52" t="inlineStr">
        <is>
          <t>Caixa Habitação</t>
        </is>
      </c>
      <c r="F5" s="53" t="n"/>
      <c r="G5" s="54" t="n"/>
      <c r="H5" s="54" t="n"/>
      <c r="I5" s="55" t="inlineStr">
        <is>
          <t>HAPVIDA/SABRINA</t>
        </is>
      </c>
      <c r="J5" s="56" t="n"/>
      <c r="K5" s="56" t="n"/>
      <c r="L5" s="56">
        <f>IF(J5="","",J5+IF(K5="",0,K5))</f>
        <v/>
      </c>
      <c r="M5" s="57" t="n"/>
      <c r="N5" s="58" t="n"/>
      <c r="O5" s="59" t="inlineStr">
        <is>
          <t>NU</t>
        </is>
      </c>
      <c r="P5" s="60" t="n"/>
      <c r="Q5" s="60" t="n"/>
      <c r="R5" s="60">
        <f>IF(P5="","",P5-IF(Q5="",0,Q5))</f>
        <v/>
      </c>
      <c r="S5" s="60" t="n"/>
      <c r="T5" s="60">
        <f>IF(Q5="","",Q5+IF(S5="",0,S5))</f>
        <v/>
      </c>
      <c r="U5" s="61" t="n"/>
      <c r="V5" s="62" t="n"/>
    </row>
    <row r="6" ht="20" customHeight="1">
      <c r="A6" s="6" t="inlineStr">
        <is>
          <t>ALUGUÉL</t>
        </is>
      </c>
      <c r="B6" s="37" t="n"/>
      <c r="C6" s="38" t="n"/>
      <c r="D6" s="39" t="n"/>
      <c r="E6" s="9" t="inlineStr">
        <is>
          <t>Consignado BB</t>
        </is>
      </c>
      <c r="F6" s="40" t="n"/>
      <c r="G6" s="41" t="n"/>
      <c r="H6" s="41" t="n"/>
      <c r="I6" s="15" t="inlineStr">
        <is>
          <t>HAP EWE E EFRA</t>
        </is>
      </c>
      <c r="J6" s="42" t="n"/>
      <c r="K6" s="42" t="n"/>
      <c r="L6" s="42">
        <f>IF(J6="","",J6+IF(K6="",0,K6))</f>
        <v/>
      </c>
      <c r="M6" s="43" t="n"/>
      <c r="N6" s="44" t="n"/>
      <c r="O6" s="18" t="inlineStr">
        <is>
          <t>Santander SX</t>
        </is>
      </c>
      <c r="P6" s="45" t="n"/>
      <c r="Q6" s="45" t="n"/>
      <c r="R6" s="45">
        <f>IF(P6="","",P6-IF(Q6="",0,Q6))</f>
        <v/>
      </c>
      <c r="S6" s="45" t="n"/>
      <c r="T6" s="45">
        <f>IF(Q6="","",Q6+IF(S6="",0,S6))</f>
        <v/>
      </c>
      <c r="U6" s="46" t="n"/>
      <c r="V6" s="47" t="n"/>
    </row>
    <row r="7" ht="20" customHeight="1">
      <c r="A7" s="48" t="inlineStr">
        <is>
          <t>Wagner</t>
        </is>
      </c>
      <c r="B7" s="49" t="n"/>
      <c r="C7" s="50" t="n"/>
      <c r="D7" s="51" t="n"/>
      <c r="E7" s="52" t="inlineStr">
        <is>
          <t>Emp.Sal.BB</t>
        </is>
      </c>
      <c r="F7" s="53" t="n"/>
      <c r="G7" s="54" t="n"/>
      <c r="H7" s="54" t="n"/>
      <c r="I7" s="55" t="inlineStr">
        <is>
          <t>CELPA ENERGIA</t>
        </is>
      </c>
      <c r="J7" s="56" t="n"/>
      <c r="K7" s="56" t="n"/>
      <c r="L7" s="56">
        <f>IF(J7="","",J7+IF(K7="",0,K7))</f>
        <v/>
      </c>
      <c r="M7" s="57" t="n"/>
      <c r="N7" s="58" t="n"/>
      <c r="O7" s="59" t="inlineStr">
        <is>
          <t>SELITE</t>
        </is>
      </c>
      <c r="P7" s="60" t="n"/>
      <c r="Q7" s="60" t="n"/>
      <c r="R7" s="60">
        <f>IF(P7="","",P7-IF(Q7="",0,Q7))</f>
        <v/>
      </c>
      <c r="S7" s="60" t="n"/>
      <c r="T7" s="60">
        <f>IF(Q7="","",Q7+IF(S7="",0,S7))</f>
        <v/>
      </c>
      <c r="U7" s="61" t="n"/>
      <c r="V7" s="62" t="n"/>
    </row>
    <row r="8" ht="20" customHeight="1">
      <c r="A8" s="6" t="inlineStr">
        <is>
          <t>Neto</t>
        </is>
      </c>
      <c r="B8" s="37" t="n"/>
      <c r="C8" s="38" t="n"/>
      <c r="D8" s="39" t="n"/>
      <c r="E8" s="9" t="inlineStr">
        <is>
          <t>AUX.TRANSP</t>
        </is>
      </c>
      <c r="F8" s="40" t="n"/>
      <c r="G8" s="41" t="n"/>
      <c r="H8" s="41" t="n"/>
      <c r="I8" s="15" t="inlineStr">
        <is>
          <t>SEATELECOM</t>
        </is>
      </c>
      <c r="J8" s="42" t="n"/>
      <c r="K8" s="42" t="n"/>
      <c r="L8" s="42">
        <f>IF(J8="","",J8+IF(K8="",0,K8))</f>
        <v/>
      </c>
      <c r="M8" s="43" t="n"/>
      <c r="N8" s="44" t="n"/>
      <c r="O8" s="18" t="inlineStr">
        <is>
          <t>Caixa Gold</t>
        </is>
      </c>
      <c r="P8" s="45" t="n"/>
      <c r="Q8" s="45" t="n"/>
      <c r="R8" s="45">
        <f>IF(P8="","",P8-IF(Q8="",0,Q8))</f>
        <v/>
      </c>
      <c r="S8" s="45" t="n"/>
      <c r="T8" s="45">
        <f>IF(Q8="","",Q8+IF(S8="",0,S8))</f>
        <v/>
      </c>
      <c r="U8" s="46" t="n"/>
      <c r="V8" s="47" t="n"/>
    </row>
    <row r="9" ht="20" customHeight="1">
      <c r="A9" s="48" t="inlineStr">
        <is>
          <t>UAB</t>
        </is>
      </c>
      <c r="B9" s="49" t="n"/>
      <c r="C9" s="50" t="n"/>
      <c r="D9" s="51" t="n"/>
      <c r="E9" s="52" t="inlineStr">
        <is>
          <t>CONTRI.SOCIAL</t>
        </is>
      </c>
      <c r="F9" s="53" t="n"/>
      <c r="G9" s="54" t="n"/>
      <c r="H9" s="54" t="n"/>
      <c r="I9" s="55" t="inlineStr">
        <is>
          <t>TX.ÁLAMO</t>
        </is>
      </c>
      <c r="J9" s="56" t="n"/>
      <c r="K9" s="56" t="n"/>
      <c r="L9" s="56">
        <f>IF(J9="","",J9+IF(K9="",0,K9))</f>
        <v/>
      </c>
      <c r="M9" s="57" t="n"/>
      <c r="N9" s="58" t="n"/>
      <c r="O9" s="59" t="inlineStr">
        <is>
          <t>Cartão MP</t>
        </is>
      </c>
      <c r="P9" s="60" t="n"/>
      <c r="Q9" s="60" t="n"/>
      <c r="R9" s="60">
        <f>IF(P9="","",P9-IF(Q9="",0,Q9))</f>
        <v/>
      </c>
      <c r="S9" s="60" t="n"/>
      <c r="T9" s="60">
        <f>IF(Q9="","",Q9+IF(S9="",0,S9))</f>
        <v/>
      </c>
      <c r="U9" s="61" t="n"/>
      <c r="V9" s="62" t="n"/>
    </row>
    <row r="10" ht="20" customHeight="1">
      <c r="A10" s="6" t="inlineStr"/>
      <c r="B10" s="37" t="n"/>
      <c r="C10" s="38" t="n"/>
      <c r="D10" s="39" t="n"/>
      <c r="E10" s="9" t="inlineStr">
        <is>
          <t>IRRF</t>
        </is>
      </c>
      <c r="F10" s="40" t="n"/>
      <c r="G10" s="41" t="n"/>
      <c r="H10" s="41" t="n"/>
      <c r="I10" s="15" t="inlineStr">
        <is>
          <t>CONTA TIM</t>
        </is>
      </c>
      <c r="J10" s="42" t="n"/>
      <c r="K10" s="42" t="n"/>
      <c r="L10" s="42">
        <f>IF(J10="","",J10+IF(K10="",0,K10))</f>
        <v/>
      </c>
      <c r="M10" s="43" t="n"/>
      <c r="N10" s="44" t="n"/>
      <c r="O10" s="18" t="inlineStr">
        <is>
          <t>PicPay Card</t>
        </is>
      </c>
      <c r="P10" s="45" t="n"/>
      <c r="Q10" s="45" t="n"/>
      <c r="R10" s="45">
        <f>IF(P10="","",P10-IF(Q10="",0,Q10))</f>
        <v/>
      </c>
      <c r="S10" s="45" t="n"/>
      <c r="T10" s="45">
        <f>IF(Q10="","",Q10+IF(S10="",0,S10))</f>
        <v/>
      </c>
      <c r="U10" s="46" t="n"/>
      <c r="V10" s="47" t="n"/>
    </row>
    <row r="11" ht="20" customHeight="1">
      <c r="A11" s="48" t="inlineStr"/>
      <c r="B11" s="49" t="n"/>
      <c r="C11" s="50" t="n"/>
      <c r="D11" s="51" t="n"/>
      <c r="E11" s="52" t="inlineStr">
        <is>
          <t>AUX.PRÉ.ESC</t>
        </is>
      </c>
      <c r="F11" s="53" t="n"/>
      <c r="G11" s="54" t="n"/>
      <c r="H11" s="54" t="n"/>
      <c r="I11" s="55" t="inlineStr">
        <is>
          <t>CONTA CLARO</t>
        </is>
      </c>
      <c r="J11" s="56" t="n"/>
      <c r="K11" s="56" t="n"/>
      <c r="L11" s="56">
        <f>IF(J11="","",J11+IF(K11="",0,K11))</f>
        <v/>
      </c>
      <c r="M11" s="57" t="n"/>
      <c r="N11" s="58" t="n"/>
      <c r="O11" s="59" t="inlineStr">
        <is>
          <t>Itaú Card</t>
        </is>
      </c>
      <c r="P11" s="60" t="n"/>
      <c r="Q11" s="60" t="n"/>
      <c r="R11" s="60">
        <f>IF(P11="","",P11-IF(Q11="",0,Q11))</f>
        <v/>
      </c>
      <c r="S11" s="60" t="n"/>
      <c r="T11" s="60">
        <f>IF(Q11="","",Q11+IF(S11="",0,S11))</f>
        <v/>
      </c>
      <c r="U11" s="61" t="n"/>
      <c r="V11" s="62" t="n"/>
    </row>
    <row r="12" ht="20" customHeight="1">
      <c r="A12" s="6" t="inlineStr"/>
      <c r="B12" s="37" t="n"/>
      <c r="C12" s="38" t="n"/>
      <c r="D12" s="39" t="n"/>
      <c r="E12" s="9" t="inlineStr">
        <is>
          <t>Dízimo</t>
        </is>
      </c>
      <c r="F12" s="40" t="n"/>
      <c r="G12" s="41" t="n"/>
      <c r="H12" s="41" t="n"/>
      <c r="I12" s="15" t="inlineStr">
        <is>
          <t>MAXÍDOMINI</t>
        </is>
      </c>
      <c r="J12" s="42" t="n"/>
      <c r="K12" s="42" t="n"/>
      <c r="L12" s="42">
        <f>IF(J12="","",J12+IF(K12="",0,K12))</f>
        <v/>
      </c>
      <c r="M12" s="43" t="n"/>
      <c r="N12" s="44" t="n"/>
      <c r="O12" s="18" t="inlineStr">
        <is>
          <t>CAIXA ELO</t>
        </is>
      </c>
      <c r="P12" s="45" t="n"/>
      <c r="Q12" s="45" t="n"/>
      <c r="R12" s="45">
        <f>IF(P12="","",P12-IF(Q12="",0,Q12))</f>
        <v/>
      </c>
      <c r="S12" s="45" t="n"/>
      <c r="T12" s="45">
        <f>IF(Q12="","",Q12+IF(S12="",0,S12))</f>
        <v/>
      </c>
      <c r="U12" s="46" t="n"/>
      <c r="V12" s="47" t="n"/>
    </row>
    <row r="13" ht="20" customHeight="1">
      <c r="A13" s="48" t="inlineStr"/>
      <c r="B13" s="49" t="n"/>
      <c r="C13" s="50" t="n"/>
      <c r="D13" s="51" t="n"/>
      <c r="E13" s="52" t="inlineStr"/>
      <c r="F13" s="53" t="n"/>
      <c r="G13" s="54" t="n"/>
      <c r="H13" s="54" t="n"/>
      <c r="I13" s="55" t="inlineStr">
        <is>
          <t>COSANPA/ÁGUA</t>
        </is>
      </c>
      <c r="J13" s="56" t="n"/>
      <c r="K13" s="56" t="n"/>
      <c r="L13" s="56">
        <f>IF(J13="","",J13+IF(K13="",0,K13))</f>
        <v/>
      </c>
      <c r="M13" s="57" t="n"/>
      <c r="N13" s="58" t="n"/>
      <c r="O13" s="59" t="inlineStr">
        <is>
          <t>Bradesco</t>
        </is>
      </c>
      <c r="P13" s="60" t="n"/>
      <c r="Q13" s="60" t="n"/>
      <c r="R13" s="60">
        <f>IF(P13="","",P13-IF(Q13="",0,Q13))</f>
        <v/>
      </c>
      <c r="S13" s="60" t="n"/>
      <c r="T13" s="60">
        <f>IF(Q13="","",Q13+IF(S13="",0,S13))</f>
        <v/>
      </c>
      <c r="U13" s="61" t="n"/>
      <c r="V13" s="62" t="n"/>
    </row>
    <row r="14" ht="20" customHeight="1">
      <c r="A14" s="6" t="inlineStr"/>
      <c r="B14" s="37" t="n"/>
      <c r="C14" s="38" t="n"/>
      <c r="D14" s="39" t="n"/>
      <c r="E14" s="9" t="inlineStr"/>
      <c r="F14" s="40" t="n"/>
      <c r="G14" s="41" t="n"/>
      <c r="H14" s="41" t="n"/>
      <c r="I14" s="15" t="inlineStr">
        <is>
          <t>ESCOLA SALMOM</t>
        </is>
      </c>
      <c r="J14" s="42" t="n"/>
      <c r="K14" s="42" t="n"/>
      <c r="L14" s="42">
        <f>IF(J14="","",J14+IF(K14="",0,K14))</f>
        <v/>
      </c>
      <c r="M14" s="43" t="n"/>
      <c r="N14" s="44" t="n"/>
      <c r="O14" s="18" t="inlineStr">
        <is>
          <t>RecargaPay</t>
        </is>
      </c>
      <c r="P14" s="45" t="n"/>
      <c r="Q14" s="45" t="n"/>
      <c r="R14" s="45">
        <f>IF(P14="","",P14-IF(Q14="",0,Q14))</f>
        <v/>
      </c>
      <c r="S14" s="45" t="n"/>
      <c r="T14" s="45">
        <f>IF(Q14="","",Q14+IF(S14="",0,S14))</f>
        <v/>
      </c>
      <c r="U14" s="46" t="n"/>
      <c r="V14" s="47" t="n"/>
    </row>
    <row r="15" ht="20" customHeight="1">
      <c r="A15" s="48" t="inlineStr"/>
      <c r="B15" s="49" t="n"/>
      <c r="C15" s="50" t="n"/>
      <c r="D15" s="51" t="n"/>
      <c r="E15" s="52" t="inlineStr"/>
      <c r="F15" s="53" t="n"/>
      <c r="G15" s="54" t="n"/>
      <c r="H15" s="54" t="n"/>
      <c r="I15" s="55" t="inlineStr">
        <is>
          <t>CORECON</t>
        </is>
      </c>
      <c r="J15" s="56" t="n"/>
      <c r="K15" s="56" t="n"/>
      <c r="L15" s="56">
        <f>IF(J15="","",J15+IF(K15="",0,K15))</f>
        <v/>
      </c>
      <c r="M15" s="57" t="n"/>
      <c r="N15" s="58" t="n"/>
      <c r="O15" s="59" t="inlineStr">
        <is>
          <t>BipaCard</t>
        </is>
      </c>
      <c r="P15" s="60" t="n"/>
      <c r="Q15" s="60" t="n"/>
      <c r="R15" s="60">
        <f>IF(P15="","",P15-IF(Q15="",0,Q15))</f>
        <v/>
      </c>
      <c r="S15" s="60" t="n"/>
      <c r="T15" s="60">
        <f>IF(Q15="","",Q15+IF(S15="",0,S15))</f>
        <v/>
      </c>
      <c r="U15" s="61" t="n"/>
      <c r="V15" s="62" t="n"/>
    </row>
    <row r="16" ht="20" customHeight="1">
      <c r="A16" s="6" t="inlineStr"/>
      <c r="B16" s="37" t="n"/>
      <c r="C16" s="38" t="n"/>
      <c r="D16" s="39" t="n"/>
      <c r="E16" s="9" t="inlineStr"/>
      <c r="F16" s="40" t="n"/>
      <c r="G16" s="41" t="n"/>
      <c r="H16" s="41" t="n"/>
      <c r="I16" s="15" t="inlineStr">
        <is>
          <t>Boticário</t>
        </is>
      </c>
      <c r="J16" s="42" t="n"/>
      <c r="K16" s="42" t="n"/>
      <c r="L16" s="42">
        <f>IF(J16="","",J16+IF(K16="",0,K16))</f>
        <v/>
      </c>
      <c r="M16" s="43" t="n"/>
      <c r="N16" s="44" t="n"/>
      <c r="O16" s="18" t="inlineStr">
        <is>
          <t>InfinitCard</t>
        </is>
      </c>
      <c r="P16" s="45" t="n"/>
      <c r="Q16" s="45" t="n"/>
      <c r="R16" s="45">
        <f>IF(P16="","",P16-IF(Q16="",0,Q16))</f>
        <v/>
      </c>
      <c r="S16" s="45" t="n"/>
      <c r="T16" s="45">
        <f>IF(Q16="","",Q16+IF(S16="",0,S16))</f>
        <v/>
      </c>
      <c r="U16" s="46" t="n"/>
      <c r="V16" s="47" t="n"/>
    </row>
    <row r="17" ht="20" customHeight="1">
      <c r="A17" s="48" t="inlineStr"/>
      <c r="B17" s="49" t="n"/>
      <c r="C17" s="50" t="n"/>
      <c r="D17" s="51" t="n"/>
      <c r="E17" s="52" t="inlineStr"/>
      <c r="F17" s="53" t="n"/>
      <c r="G17" s="54" t="n"/>
      <c r="H17" s="54" t="n"/>
      <c r="I17" s="55" t="inlineStr">
        <is>
          <t>Rodobens</t>
        </is>
      </c>
      <c r="J17" s="56" t="n"/>
      <c r="K17" s="56" t="n"/>
      <c r="L17" s="56">
        <f>IF(J17="","",J17+IF(K17="",0,K17))</f>
        <v/>
      </c>
      <c r="M17" s="57" t="n"/>
      <c r="N17" s="58" t="n"/>
      <c r="O17" s="59" t="inlineStr">
        <is>
          <t>Pagbank</t>
        </is>
      </c>
      <c r="P17" s="60" t="n"/>
      <c r="Q17" s="60" t="n"/>
      <c r="R17" s="60">
        <f>IF(P17="","",P17-IF(Q17="",0,Q17))</f>
        <v/>
      </c>
      <c r="S17" s="60" t="n"/>
      <c r="T17" s="60">
        <f>IF(Q17="","",Q17+IF(S17="",0,S17))</f>
        <v/>
      </c>
      <c r="U17" s="61" t="n"/>
      <c r="V17" s="62" t="n"/>
    </row>
    <row r="18" ht="20" customHeight="1">
      <c r="A18" s="6" t="inlineStr"/>
      <c r="B18" s="37" t="n"/>
      <c r="C18" s="38" t="n"/>
      <c r="D18" s="39" t="n"/>
      <c r="E18" s="9" t="inlineStr"/>
      <c r="F18" s="40" t="n"/>
      <c r="G18" s="41" t="n"/>
      <c r="H18" s="41" t="n"/>
      <c r="I18" s="15" t="inlineStr"/>
      <c r="J18" s="42" t="n"/>
      <c r="K18" s="42" t="n"/>
      <c r="L18" s="42">
        <f>IF(J18="","",J18+IF(K18="",0,K18))</f>
        <v/>
      </c>
      <c r="M18" s="43" t="n"/>
      <c r="N18" s="44" t="n"/>
      <c r="O18" s="18" t="inlineStr">
        <is>
          <t>TonCard</t>
        </is>
      </c>
      <c r="P18" s="45" t="n"/>
      <c r="Q18" s="45" t="n"/>
      <c r="R18" s="45">
        <f>IF(P18="","",P18-IF(Q18="",0,Q18))</f>
        <v/>
      </c>
      <c r="S18" s="45" t="n"/>
      <c r="T18" s="45">
        <f>IF(Q18="","",Q18+IF(S18="",0,S18))</f>
        <v/>
      </c>
      <c r="U18" s="46" t="n"/>
      <c r="V18" s="47" t="n"/>
    </row>
    <row r="19" ht="20" customHeight="1">
      <c r="A19" s="48" t="inlineStr"/>
      <c r="B19" s="49" t="n"/>
      <c r="C19" s="50" t="n"/>
      <c r="D19" s="51" t="n"/>
      <c r="E19" s="52" t="inlineStr"/>
      <c r="F19" s="53" t="n"/>
      <c r="G19" s="54" t="n"/>
      <c r="H19" s="54" t="n"/>
      <c r="I19" s="55" t="inlineStr"/>
      <c r="J19" s="56" t="n"/>
      <c r="K19" s="56" t="n"/>
      <c r="L19" s="56">
        <f>IF(J19="","",J19+IF(K19="",0,K19))</f>
        <v/>
      </c>
      <c r="M19" s="57" t="n"/>
      <c r="N19" s="58" t="n"/>
      <c r="O19" s="59" t="inlineStr"/>
      <c r="P19" s="60" t="n"/>
      <c r="Q19" s="60" t="n"/>
      <c r="R19" s="60">
        <f>IF(P19="","",P19-IF(Q19="",0,Q19))</f>
        <v/>
      </c>
      <c r="S19" s="60" t="n"/>
      <c r="T19" s="60">
        <f>IF(Q19="","",Q19+IF(S19="",0,S19))</f>
        <v/>
      </c>
      <c r="U19" s="61" t="n"/>
      <c r="V19" s="62" t="n"/>
    </row>
    <row r="20" ht="22" customHeight="1">
      <c r="A20" s="63" t="inlineStr">
        <is>
          <t>RECEITA TOTAL</t>
        </is>
      </c>
      <c r="B20" s="8">
        <f>SUM(B4:B19)</f>
        <v/>
      </c>
      <c r="C20" s="64" t="n"/>
      <c r="D20" s="64" t="n"/>
      <c r="E20" s="65" t="inlineStr">
        <is>
          <t>TOTAL DESCONTOS</t>
        </is>
      </c>
      <c r="F20" s="11">
        <f>SUM(F4:F19)</f>
        <v/>
      </c>
      <c r="G20" s="66" t="n"/>
      <c r="H20" s="66" t="n"/>
      <c r="I20" s="67" t="inlineStr">
        <is>
          <t>TOTAL FIXAS (CET)</t>
        </is>
      </c>
      <c r="J20" s="21">
        <f>SUM(J4:J19)</f>
        <v/>
      </c>
      <c r="K20" s="21">
        <f>SUM(K4:K19)</f>
        <v/>
      </c>
      <c r="L20" s="21">
        <f>SUM(L4:L19)</f>
        <v/>
      </c>
      <c r="M20" s="68" t="n"/>
      <c r="N20" s="68" t="n"/>
      <c r="O20" s="69" t="inlineStr">
        <is>
          <t>TOTAL CARTÕES</t>
        </is>
      </c>
      <c r="P20" s="70">
        <f>SUM(P4:P19)</f>
        <v/>
      </c>
      <c r="Q20" s="70">
        <f>SUM(Q4:Q19)</f>
        <v/>
      </c>
      <c r="R20" s="70">
        <f>SUM(R4:R19)</f>
        <v/>
      </c>
      <c r="S20" s="70">
        <f>SUM(S4:S19)</f>
        <v/>
      </c>
      <c r="T20" s="70">
        <f>SUM(T4:T19)</f>
        <v/>
      </c>
      <c r="U20" s="71" t="n"/>
      <c r="V20" s="71" t="n"/>
    </row>
    <row r="21">
      <c r="O21" s="72" t="inlineStr">
        <is>
          <t>¹ SALDO = Fatura − Pago  (valor não quitado = nova dívida do mês)</t>
        </is>
      </c>
    </row>
    <row r="22" ht="22" customHeight="1">
      <c r="A22" s="73" t="inlineStr">
        <is>
          <t>ASSINATURAS ONLINE</t>
        </is>
      </c>
      <c r="F22" s="73" t="inlineStr">
        <is>
          <t>NOTAS / EMPRÉSTIMOS / CONSIGNADOS</t>
        </is>
      </c>
    </row>
    <row r="23" ht="20" customHeight="1">
      <c r="A23" s="74" t="inlineStr">
        <is>
          <t>CARTÃO</t>
        </is>
      </c>
      <c r="B23" s="74" t="inlineStr">
        <is>
          <t>SERVIÇO</t>
        </is>
      </c>
      <c r="C23" s="74" t="inlineStr">
        <is>
          <t>VALOR</t>
        </is>
      </c>
      <c r="D23" s="74" t="inlineStr">
        <is>
          <t>DIA/SITUAÇÃO</t>
        </is>
      </c>
      <c r="F23" s="74" t="inlineStr">
        <is>
          <t>DESCRIÇÃO</t>
        </is>
      </c>
      <c r="G23" s="74" t="inlineStr">
        <is>
          <t>TAXA (am)</t>
        </is>
      </c>
      <c r="H23" s="74" t="inlineStr">
        <is>
          <t>TAXA (aa)</t>
        </is>
      </c>
      <c r="I23" s="74" t="inlineStr">
        <is>
          <t>OBS / SALDO</t>
        </is>
      </c>
    </row>
    <row r="24" ht="18" customHeight="1">
      <c r="A24" s="75" t="inlineStr">
        <is>
          <t>NU</t>
        </is>
      </c>
      <c r="B24" s="22" t="inlineStr">
        <is>
          <t>GDRIVE SABRI</t>
        </is>
      </c>
      <c r="C24" s="23" t="n">
        <v>49.9</v>
      </c>
      <c r="D24" s="22" t="inlineStr">
        <is>
          <t>DIA 04 — CRÉDITO (NU)</t>
        </is>
      </c>
      <c r="F24" s="22" t="inlineStr">
        <is>
          <t>Consignado Nubank 1</t>
        </is>
      </c>
      <c r="G24" s="75" t="inlineStr">
        <is>
          <t>1.30% am</t>
        </is>
      </c>
      <c r="H24" s="75" t="inlineStr">
        <is>
          <t>16.74% aa</t>
        </is>
      </c>
      <c r="I24" s="22" t="inlineStr">
        <is>
          <t>73x</t>
        </is>
      </c>
    </row>
    <row r="25" ht="18" customHeight="1">
      <c r="A25" s="76" t="inlineStr">
        <is>
          <t>NU</t>
        </is>
      </c>
      <c r="B25" s="77" t="inlineStr">
        <is>
          <t>CONTA TIM</t>
        </is>
      </c>
      <c r="C25" s="78" t="n">
        <v>42</v>
      </c>
      <c r="D25" s="77" t="inlineStr">
        <is>
          <t>DIA 15 — PG MANUAL</t>
        </is>
      </c>
      <c r="F25" s="77" t="inlineStr">
        <is>
          <t>Consignado Nubank 2</t>
        </is>
      </c>
      <c r="G25" s="76" t="inlineStr">
        <is>
          <t>1.57% am</t>
        </is>
      </c>
      <c r="H25" s="76" t="inlineStr">
        <is>
          <t>21.85% aa</t>
        </is>
      </c>
      <c r="I25" s="77" t="inlineStr">
        <is>
          <t>96x — saldo R$776,82</t>
        </is>
      </c>
    </row>
    <row r="26" ht="18" customHeight="1">
      <c r="A26" s="75" t="inlineStr">
        <is>
          <t>SANTANDER SX</t>
        </is>
      </c>
      <c r="B26" s="22" t="inlineStr">
        <is>
          <t>PLANO CLARO</t>
        </is>
      </c>
      <c r="C26" s="23" t="n">
        <v>73.73</v>
      </c>
      <c r="D26" s="22" t="inlineStr">
        <is>
          <t>DIA 09 — PG MANUAL</t>
        </is>
      </c>
      <c r="F26" s="22" t="inlineStr">
        <is>
          <t>Fin. Habitação CAIXA</t>
        </is>
      </c>
      <c r="G26" s="75" t="inlineStr">
        <is>
          <t>7% nominal</t>
        </is>
      </c>
      <c r="H26" s="75" t="inlineStr"/>
      <c r="I26" s="22" t="inlineStr"/>
    </row>
    <row r="27" ht="18" customHeight="1">
      <c r="A27" s="76" t="inlineStr">
        <is>
          <t>NU</t>
        </is>
      </c>
      <c r="B27" s="77" t="inlineStr">
        <is>
          <t>YOUTUBE ST</t>
        </is>
      </c>
      <c r="C27" s="78" t="n">
        <v>53.9</v>
      </c>
      <c r="D27" s="77" t="inlineStr">
        <is>
          <t>DIA 25 — CRÉDITO (NU)</t>
        </is>
      </c>
      <c r="F27" s="77" t="inlineStr">
        <is>
          <t>Empréstimo Sabrina</t>
        </is>
      </c>
      <c r="G27" s="76" t="inlineStr"/>
      <c r="H27" s="76" t="inlineStr"/>
      <c r="I27" s="77" t="inlineStr">
        <is>
          <t>saldo R$2.503,46</t>
        </is>
      </c>
    </row>
    <row r="28" ht="18" customHeight="1">
      <c r="A28" s="75" t="inlineStr">
        <is>
          <t>NU</t>
        </is>
      </c>
      <c r="B28" s="22" t="inlineStr">
        <is>
          <t>ICLOUD</t>
        </is>
      </c>
      <c r="C28" s="23" t="n">
        <v>5.9</v>
      </c>
      <c r="D28" s="22" t="inlineStr">
        <is>
          <t>DIA 01 — CRÉDITO (NU)</t>
        </is>
      </c>
      <c r="F28" s="22" t="inlineStr">
        <is>
          <t>Empréstimo Josy</t>
        </is>
      </c>
      <c r="G28" s="75" t="inlineStr"/>
      <c r="H28" s="75" t="inlineStr"/>
      <c r="I28" s="22" t="inlineStr"/>
    </row>
    <row r="29" ht="18" customHeight="1">
      <c r="A29" s="76" t="inlineStr"/>
      <c r="B29" s="77" t="inlineStr">
        <is>
          <t>Serasa</t>
        </is>
      </c>
      <c r="C29" s="78" t="n">
        <v>23.9</v>
      </c>
      <c r="D29" s="77" t="inlineStr">
        <is>
          <t xml:space="preserve">DIA 17 — </t>
        </is>
      </c>
      <c r="F29" s="77" t="inlineStr"/>
      <c r="G29" s="76" t="inlineStr"/>
      <c r="H29" s="76" t="inlineStr"/>
      <c r="I29" s="77" t="inlineStr"/>
    </row>
    <row r="30" ht="18" customHeight="1">
      <c r="A30" s="75" t="inlineStr"/>
      <c r="B30" s="22" t="inlineStr">
        <is>
          <t>Kindle</t>
        </is>
      </c>
      <c r="C30" s="23" t="n">
        <v>24</v>
      </c>
      <c r="D30" s="22" t="inlineStr"/>
      <c r="F30" s="22" t="inlineStr"/>
      <c r="G30" s="75" t="inlineStr"/>
      <c r="H30" s="75" t="inlineStr"/>
      <c r="I30" s="22" t="inlineStr"/>
    </row>
    <row r="31" ht="18" customHeight="1">
      <c r="A31" s="76" t="inlineStr">
        <is>
          <t>NU</t>
        </is>
      </c>
      <c r="B31" s="77" t="inlineStr">
        <is>
          <t>GPT</t>
        </is>
      </c>
      <c r="C31" s="78" t="n">
        <v>130</v>
      </c>
      <c r="D31" s="77" t="inlineStr">
        <is>
          <t>DIA 02 — CRÉDITO (NU)</t>
        </is>
      </c>
    </row>
    <row r="32" ht="18" customHeight="1">
      <c r="A32" s="75" t="inlineStr">
        <is>
          <t>NU</t>
        </is>
      </c>
      <c r="B32" s="22" t="inlineStr">
        <is>
          <t>Copilot</t>
        </is>
      </c>
      <c r="C32" s="23" t="n">
        <v>109.9</v>
      </c>
      <c r="D32" s="22" t="inlineStr">
        <is>
          <t>DIA 04 — CRÉDITO (NU)</t>
        </is>
      </c>
    </row>
    <row r="33" ht="18" customHeight="1">
      <c r="A33" s="76" t="inlineStr">
        <is>
          <t>NU</t>
        </is>
      </c>
      <c r="B33" s="77" t="inlineStr">
        <is>
          <t>WORD</t>
        </is>
      </c>
      <c r="C33" s="78" t="n">
        <v>0</v>
      </c>
      <c r="D33" s="77" t="inlineStr">
        <is>
          <t>Anual — CRÉDITO (NU)</t>
        </is>
      </c>
    </row>
    <row r="34" ht="18" customHeight="1">
      <c r="A34" s="75" t="inlineStr">
        <is>
          <t>NU</t>
        </is>
      </c>
      <c r="B34" s="22" t="inlineStr">
        <is>
          <t>GDRIVE EWE</t>
        </is>
      </c>
      <c r="C34" s="23" t="n">
        <v>0</v>
      </c>
      <c r="D34" s="22" t="inlineStr">
        <is>
          <t>Ago/26 — CRÉDITO (NU)</t>
        </is>
      </c>
    </row>
    <row r="35" ht="18" customHeight="1">
      <c r="A35" s="76" t="inlineStr"/>
      <c r="B35" s="77" t="inlineStr">
        <is>
          <t>PDFVIEW</t>
        </is>
      </c>
      <c r="C35" s="78" t="n">
        <v>0</v>
      </c>
      <c r="D35" s="77" t="inlineStr">
        <is>
          <t>CRÉDITO (NU)</t>
        </is>
      </c>
    </row>
    <row r="36" ht="20" customHeight="1">
      <c r="A36" s="79" t="inlineStr">
        <is>
          <t>TOTAL ASSINATURAS</t>
        </is>
      </c>
      <c r="C36" s="24">
        <f>SUM(C24:C35)</f>
        <v/>
      </c>
      <c r="D36" s="3" t="n"/>
    </row>
    <row r="38" ht="22" customHeight="1">
      <c r="A38" s="80" t="inlineStr">
        <is>
          <t>CHEQUE ESPECIAL / DÍVIDAS FINANCEIRAS</t>
        </is>
      </c>
    </row>
    <row r="39" ht="22" customHeight="1">
      <c r="A39" s="35" t="inlineStr">
        <is>
          <t>BANCO</t>
        </is>
      </c>
      <c r="B39" s="35" t="inlineStr">
        <is>
          <t>LIMITE</t>
        </is>
      </c>
      <c r="C39" s="35" t="inlineStr">
        <is>
          <t>USADO</t>
        </is>
      </c>
      <c r="D39" s="35" t="inlineStr">
        <is>
          <t>JUROS MÊS</t>
        </is>
      </c>
      <c r="E39" s="35" t="inlineStr">
        <is>
          <t>TAXA % aa</t>
        </is>
      </c>
      <c r="F39" s="35" t="inlineStr">
        <is>
          <t>DIAS</t>
        </is>
      </c>
      <c r="G39" s="35" t="inlineStr">
        <is>
          <t>SITUAÇÃO</t>
        </is>
      </c>
    </row>
    <row r="40" ht="19" customHeight="1">
      <c r="A40" s="15" t="inlineStr">
        <is>
          <t>BB</t>
        </is>
      </c>
      <c r="B40" s="16" t="n"/>
      <c r="C40" s="16" t="n"/>
      <c r="D40" s="16" t="n"/>
      <c r="E40" s="81" t="n"/>
      <c r="F40" s="81" t="n"/>
      <c r="G40" s="81" t="n"/>
    </row>
    <row r="41" ht="19" customHeight="1">
      <c r="A41" s="55" t="inlineStr">
        <is>
          <t>Santander</t>
        </is>
      </c>
      <c r="B41" s="82" t="n"/>
      <c r="C41" s="82" t="n"/>
      <c r="D41" s="82" t="n"/>
      <c r="E41" s="83" t="n"/>
      <c r="F41" s="83" t="n"/>
      <c r="G41" s="83" t="n"/>
    </row>
    <row r="42" ht="19" customHeight="1">
      <c r="A42" s="15" t="inlineStr">
        <is>
          <t>Caixa</t>
        </is>
      </c>
      <c r="B42" s="16" t="n"/>
      <c r="C42" s="16" t="n"/>
      <c r="D42" s="16" t="n"/>
      <c r="E42" s="81" t="n"/>
      <c r="F42" s="81" t="n"/>
      <c r="G42" s="81" t="n"/>
    </row>
    <row r="43" ht="19" customHeight="1">
      <c r="A43" s="55" t="inlineStr">
        <is>
          <t>Itaú</t>
        </is>
      </c>
      <c r="B43" s="82" t="n"/>
      <c r="C43" s="82" t="n"/>
      <c r="D43" s="82" t="n"/>
      <c r="E43" s="83" t="n"/>
      <c r="F43" s="83" t="n"/>
      <c r="G43" s="83" t="n"/>
    </row>
    <row r="44" ht="19" customHeight="1">
      <c r="A44" s="15" t="inlineStr">
        <is>
          <t>Bradesco</t>
        </is>
      </c>
      <c r="B44" s="16" t="n"/>
      <c r="C44" s="16" t="n"/>
      <c r="D44" s="16" t="n"/>
      <c r="E44" s="81" t="n"/>
      <c r="F44" s="81" t="n"/>
      <c r="G44" s="81" t="n"/>
    </row>
    <row r="45" ht="20" customHeight="1">
      <c r="A45" s="67" t="inlineStr">
        <is>
          <t>TOTAL CHEQUE ESPECIAL</t>
        </is>
      </c>
      <c r="C45" s="21">
        <f>SUM(C40:C44)</f>
        <v/>
      </c>
      <c r="D45" s="21">
        <f>SUM(D40:D44)</f>
        <v/>
      </c>
      <c r="E45" s="84" t="n"/>
      <c r="F45" s="84" t="n"/>
      <c r="G45" s="84" t="n"/>
    </row>
    <row r="47" ht="28" customHeight="1">
      <c r="A47" s="28" t="inlineStr">
        <is>
          <t xml:space="preserve">  ══  RESULTADO DO MÊS  ══</t>
        </is>
      </c>
    </row>
    <row r="48" ht="19" customHeight="1">
      <c r="A48" s="6" t="inlineStr">
        <is>
          <t>Receita Bruta</t>
        </is>
      </c>
      <c r="F48" s="7">
        <f>B20</f>
        <v/>
      </c>
    </row>
    <row r="49" ht="19" customHeight="1">
      <c r="A49" s="9" t="inlineStr">
        <is>
          <t>(−) Descontos em Folha</t>
        </is>
      </c>
      <c r="F49" s="10">
        <f>F20</f>
        <v/>
      </c>
    </row>
    <row r="50" ht="24" customHeight="1">
      <c r="A50" s="85">
        <f> Receita Líquida</f>
        <v/>
      </c>
      <c r="F50" s="14">
        <f>F48-F49</f>
        <v/>
      </c>
    </row>
    <row r="51" ht="19" customHeight="1">
      <c r="A51" s="15" t="inlineStr">
        <is>
          <t>(−) Despesas Fixas (CET)</t>
        </is>
      </c>
      <c r="F51" s="16">
        <f>L20</f>
        <v/>
      </c>
    </row>
    <row r="52" ht="19" customHeight="1">
      <c r="A52" s="18" t="inlineStr">
        <is>
          <t>(−) Cartões — Valor Pago</t>
        </is>
      </c>
      <c r="F52" s="19">
        <f>Q20</f>
        <v/>
      </c>
    </row>
    <row r="53" ht="19" customHeight="1">
      <c r="A53" s="18" t="inlineStr">
        <is>
          <t>(−) Juros dos Cartões</t>
        </is>
      </c>
      <c r="F53" s="19">
        <f>S20</f>
        <v/>
      </c>
    </row>
    <row r="54" ht="19" customHeight="1">
      <c r="A54" s="15" t="inlineStr">
        <is>
          <t>(−) Juros Cheque Especial</t>
        </is>
      </c>
      <c r="F54" s="16">
        <f>D45</f>
        <v/>
      </c>
    </row>
    <row r="55" ht="19" customHeight="1">
      <c r="A55" s="22" t="inlineStr">
        <is>
          <t>(−) Assinaturas Online</t>
        </is>
      </c>
      <c r="F55" s="23">
        <f>C36</f>
        <v/>
      </c>
    </row>
    <row r="56" ht="24" customHeight="1">
      <c r="A56" s="86">
        <f> SALDO REAL DO MÊS</f>
        <v/>
      </c>
      <c r="F56" s="27">
        <f>F50-F51-F52-F53-F54-F55</f>
        <v/>
      </c>
    </row>
    <row r="57" ht="19" customHeight="1">
      <c r="A57" s="15" t="inlineStr">
        <is>
          <t>⚠  Nova Dívida (cartões não pagos)</t>
        </is>
      </c>
      <c r="F57" s="16">
        <f>R20</f>
        <v/>
      </c>
    </row>
    <row r="59" ht="22" customHeight="1">
      <c r="A59" s="73" t="inlineStr">
        <is>
          <t>CONTAS E SALDOS</t>
        </is>
      </c>
    </row>
    <row r="60" ht="18" customHeight="1">
      <c r="A60" s="74" t="inlineStr">
        <is>
          <t>BANCO / CARTEIRA</t>
        </is>
      </c>
      <c r="B60" s="74" t="inlineStr">
        <is>
          <t>SALDO (R$)</t>
        </is>
      </c>
      <c r="C60" s="74" t="inlineStr">
        <is>
          <t>OBS</t>
        </is>
      </c>
    </row>
    <row r="61" ht="18" customHeight="1">
      <c r="A61" s="22" t="inlineStr">
        <is>
          <t>Saldo CC BB</t>
        </is>
      </c>
      <c r="B61" s="23" t="n"/>
      <c r="C61" s="87" t="n"/>
    </row>
    <row r="62" ht="18" customHeight="1">
      <c r="A62" s="77" t="inlineStr">
        <is>
          <t>Santander</t>
        </is>
      </c>
      <c r="B62" s="78" t="n"/>
      <c r="C62" s="88" t="n"/>
    </row>
    <row r="63" ht="18" customHeight="1">
      <c r="A63" s="22" t="inlineStr">
        <is>
          <t>Caixa</t>
        </is>
      </c>
      <c r="B63" s="23" t="n"/>
      <c r="C63" s="87" t="n"/>
    </row>
    <row r="64" ht="18" customHeight="1">
      <c r="A64" s="77" t="inlineStr">
        <is>
          <t>Bipa</t>
        </is>
      </c>
      <c r="B64" s="78" t="n"/>
      <c r="C64" s="88" t="n"/>
    </row>
    <row r="65" ht="18" customHeight="1">
      <c r="A65" s="22" t="inlineStr">
        <is>
          <t>Nubank</t>
        </is>
      </c>
      <c r="B65" s="23" t="n"/>
      <c r="C65" s="87" t="n"/>
    </row>
    <row r="66" ht="18" customHeight="1">
      <c r="A66" s="77" t="inlineStr">
        <is>
          <t>Itaú</t>
        </is>
      </c>
      <c r="B66" s="78" t="n"/>
      <c r="C66" s="88" t="n"/>
    </row>
    <row r="67" ht="18" customHeight="1">
      <c r="A67" s="22" t="inlineStr">
        <is>
          <t>MP</t>
        </is>
      </c>
      <c r="B67" s="23" t="n"/>
      <c r="C67" s="87" t="n"/>
    </row>
    <row r="68" ht="18" customHeight="1">
      <c r="A68" s="77" t="inlineStr">
        <is>
          <t>KuCoin</t>
        </is>
      </c>
      <c r="B68" s="78" t="n"/>
      <c r="C68" s="88" t="n"/>
    </row>
    <row r="69" ht="18" customHeight="1">
      <c r="A69" s="22" t="inlineStr">
        <is>
          <t>Ton</t>
        </is>
      </c>
      <c r="B69" s="23" t="n"/>
      <c r="C69" s="87" t="n"/>
    </row>
    <row r="70" ht="18" customHeight="1">
      <c r="A70" s="77" t="inlineStr">
        <is>
          <t>Picpay</t>
        </is>
      </c>
      <c r="B70" s="78" t="n"/>
      <c r="C70" s="88" t="n"/>
    </row>
    <row r="71" ht="18" customHeight="1">
      <c r="A71" s="22" t="inlineStr">
        <is>
          <t>Recargapay</t>
        </is>
      </c>
      <c r="B71" s="23" t="n"/>
      <c r="C71" s="87" t="n"/>
    </row>
    <row r="72" ht="18" customHeight="1">
      <c r="A72" s="77" t="inlineStr">
        <is>
          <t>Infinitepay</t>
        </is>
      </c>
      <c r="B72" s="78" t="n"/>
      <c r="C72" s="88" t="n"/>
    </row>
    <row r="73" ht="18" customHeight="1">
      <c r="A73" s="22" t="inlineStr">
        <is>
          <t>PagBank</t>
        </is>
      </c>
      <c r="B73" s="23" t="n"/>
      <c r="C73" s="87" t="n"/>
    </row>
    <row r="74" ht="18" customHeight="1">
      <c r="A74" s="77" t="inlineStr">
        <is>
          <t>C6 BANK</t>
        </is>
      </c>
      <c r="B74" s="78" t="n"/>
      <c r="C74" s="88" t="n"/>
    </row>
    <row r="75" ht="18" customHeight="1">
      <c r="A75" s="22" t="inlineStr">
        <is>
          <t>INTER</t>
        </is>
      </c>
      <c r="B75" s="23" t="n"/>
      <c r="C75" s="87" t="n"/>
    </row>
    <row r="76" ht="18" customHeight="1">
      <c r="A76" s="77" t="inlineStr">
        <is>
          <t>Bradesco</t>
        </is>
      </c>
      <c r="B76" s="78" t="n"/>
      <c r="C76" s="88" t="n"/>
    </row>
    <row r="77" ht="18" customHeight="1">
      <c r="A77" s="22" t="inlineStr">
        <is>
          <t>BTG</t>
        </is>
      </c>
      <c r="B77" s="23" t="n"/>
      <c r="C77" s="87" t="n"/>
    </row>
    <row r="78" ht="20" customHeight="1">
      <c r="A78" s="79" t="inlineStr">
        <is>
          <t>TOTAL EM CONTAS</t>
        </is>
      </c>
      <c r="B78" s="24">
        <f>SUM(B61:B77)</f>
        <v/>
      </c>
      <c r="C78" s="3" t="n"/>
    </row>
  </sheetData>
  <mergeCells count="23">
    <mergeCell ref="A48:E48"/>
    <mergeCell ref="A22:D22"/>
    <mergeCell ref="A45:B45"/>
    <mergeCell ref="A49:E49"/>
    <mergeCell ref="A51:E51"/>
    <mergeCell ref="A36:B36"/>
    <mergeCell ref="A38:G38"/>
    <mergeCell ref="A47:F47"/>
    <mergeCell ref="A54:E54"/>
    <mergeCell ref="A56:E56"/>
    <mergeCell ref="A55:E55"/>
    <mergeCell ref="A50:E50"/>
    <mergeCell ref="A57:E57"/>
    <mergeCell ref="A1:V1"/>
    <mergeCell ref="O21:V21"/>
    <mergeCell ref="A59:C59"/>
    <mergeCell ref="A53:E53"/>
    <mergeCell ref="I2:N2"/>
    <mergeCell ref="O2:V2"/>
    <mergeCell ref="A52:E52"/>
    <mergeCell ref="A2:D2"/>
    <mergeCell ref="E2:H2"/>
    <mergeCell ref="F22:I2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3" customWidth="1" min="3" max="3"/>
    <col width="12" customWidth="1" min="4" max="4"/>
    <col width="24" customWidth="1" min="5" max="5"/>
    <col width="14" customWidth="1" min="6" max="6"/>
    <col width="13" customWidth="1" min="7" max="7"/>
    <col width="13" customWidth="1" min="8" max="8"/>
    <col width="24" customWidth="1" min="9" max="9"/>
    <col width="12" customWidth="1" min="10" max="10"/>
    <col width="9" customWidth="1" min="11" max="11"/>
    <col width="12" customWidth="1" min="12" max="12"/>
    <col width="13" customWidth="1" min="13" max="13"/>
    <col width="12" customWidth="1" min="14" max="14"/>
    <col width="16" customWidth="1" min="15" max="15"/>
    <col width="14" customWidth="1" min="16" max="16"/>
    <col width="14" customWidth="1" min="17" max="17"/>
    <col width="12" customWidth="1" min="18" max="18"/>
    <col width="9" customWidth="1" min="19" max="19"/>
    <col width="12" customWidth="1" min="20" max="20"/>
    <col width="13" customWidth="1" min="21" max="21"/>
    <col width="16" customWidth="1" min="22" max="22"/>
  </cols>
  <sheetData>
    <row r="1" ht="30" customHeight="1">
      <c r="A1" s="28" t="inlineStr">
        <is>
          <t>ORÇAMENTO  OUTUBRO  2026</t>
        </is>
      </c>
    </row>
    <row r="2" ht="22" customHeight="1">
      <c r="A2" s="29" t="inlineStr">
        <is>
          <t>▶  FONTES DE RECEITA</t>
        </is>
      </c>
      <c r="E2" s="30" t="inlineStr">
        <is>
          <t>▶  DESCONTOS EM FOLHA</t>
        </is>
      </c>
      <c r="I2" s="31" t="inlineStr">
        <is>
          <t>▶  DESPESAS FIXAS</t>
        </is>
      </c>
      <c r="O2" s="32" t="inlineStr">
        <is>
          <t>▶  DESPESAS COM CARTÕES</t>
        </is>
      </c>
    </row>
    <row r="3" ht="26" customHeight="1">
      <c r="A3" s="33" t="inlineStr">
        <is>
          <t>ORIGEM</t>
        </is>
      </c>
      <c r="B3" s="33" t="inlineStr">
        <is>
          <t>VALOR</t>
        </is>
      </c>
      <c r="C3" s="33" t="inlineStr">
        <is>
          <t>SITUAÇÃO</t>
        </is>
      </c>
      <c r="D3" s="33" t="inlineStr">
        <is>
          <t>DATA PG</t>
        </is>
      </c>
      <c r="E3" s="34" t="inlineStr">
        <is>
          <t>ORIGEM</t>
        </is>
      </c>
      <c r="F3" s="34" t="inlineStr">
        <is>
          <t>VALOR</t>
        </is>
      </c>
      <c r="G3" s="34" t="inlineStr">
        <is>
          <t>INFO</t>
        </is>
      </c>
      <c r="H3" s="34" t="inlineStr">
        <is>
          <t>OBS</t>
        </is>
      </c>
      <c r="I3" s="35" t="inlineStr">
        <is>
          <t>ORIGEM</t>
        </is>
      </c>
      <c r="J3" s="35" t="inlineStr">
        <is>
          <t>VALOR</t>
        </is>
      </c>
      <c r="K3" s="35" t="inlineStr">
        <is>
          <t>JUROS</t>
        </is>
      </c>
      <c r="L3" s="35" t="inlineStr">
        <is>
          <t>CET</t>
        </is>
      </c>
      <c r="M3" s="35" t="inlineStr">
        <is>
          <t>SITUAÇÃO</t>
        </is>
      </c>
      <c r="N3" s="35" t="inlineStr">
        <is>
          <t>DATA PG</t>
        </is>
      </c>
      <c r="O3" s="36" t="inlineStr">
        <is>
          <t>CARTÃO</t>
        </is>
      </c>
      <c r="P3" s="36" t="inlineStr">
        <is>
          <t>FATURA</t>
        </is>
      </c>
      <c r="Q3" s="36" t="inlineStr">
        <is>
          <t>PAGO</t>
        </is>
      </c>
      <c r="R3" s="36" t="inlineStr">
        <is>
          <t>SALDO¹</t>
        </is>
      </c>
      <c r="S3" s="36" t="inlineStr">
        <is>
          <t>JUROS</t>
        </is>
      </c>
      <c r="T3" s="36" t="inlineStr">
        <is>
          <t>CET</t>
        </is>
      </c>
      <c r="U3" s="36" t="inlineStr">
        <is>
          <t>SITUAÇÃO</t>
        </is>
      </c>
      <c r="V3" s="36" t="inlineStr">
        <is>
          <t>DATA PG</t>
        </is>
      </c>
    </row>
    <row r="4" ht="20" customHeight="1">
      <c r="A4" s="6" t="inlineStr">
        <is>
          <t>SALÁRIO</t>
        </is>
      </c>
      <c r="B4" s="37" t="n"/>
      <c r="C4" s="38" t="n"/>
      <c r="D4" s="39" t="n"/>
      <c r="E4" s="9" t="inlineStr">
        <is>
          <t>Consignado V.Nbk</t>
        </is>
      </c>
      <c r="F4" s="40" t="n"/>
      <c r="G4" s="41" t="n"/>
      <c r="H4" s="41" t="n"/>
      <c r="I4" s="15" t="inlineStr">
        <is>
          <t>HAPVIDA/SALMINHO</t>
        </is>
      </c>
      <c r="J4" s="42" t="n"/>
      <c r="K4" s="42" t="n"/>
      <c r="L4" s="42">
        <f>IF(J4="","",J4+IF(K4="",0,K4))</f>
        <v/>
      </c>
      <c r="M4" s="43" t="n"/>
      <c r="N4" s="44" t="n"/>
      <c r="O4" s="18" t="inlineStr">
        <is>
          <t>BB</t>
        </is>
      </c>
      <c r="P4" s="45" t="n"/>
      <c r="Q4" s="45" t="n"/>
      <c r="R4" s="45">
        <f>IF(P4="","",P4-IF(Q4="",0,Q4))</f>
        <v/>
      </c>
      <c r="S4" s="45" t="n"/>
      <c r="T4" s="45">
        <f>IF(Q4="","",Q4+IF(S4="",0,S4))</f>
        <v/>
      </c>
      <c r="U4" s="46" t="n"/>
      <c r="V4" s="47" t="n"/>
    </row>
    <row r="5" ht="20" customHeight="1">
      <c r="A5" s="48" t="inlineStr">
        <is>
          <t>Kalena OF/NET</t>
        </is>
      </c>
      <c r="B5" s="49" t="n"/>
      <c r="C5" s="50" t="n"/>
      <c r="D5" s="51" t="n"/>
      <c r="E5" s="52" t="inlineStr">
        <is>
          <t>Caixa Habitação</t>
        </is>
      </c>
      <c r="F5" s="53" t="n"/>
      <c r="G5" s="54" t="n"/>
      <c r="H5" s="54" t="n"/>
      <c r="I5" s="55" t="inlineStr">
        <is>
          <t>HAPVIDA/SABRINA</t>
        </is>
      </c>
      <c r="J5" s="56" t="n"/>
      <c r="K5" s="56" t="n"/>
      <c r="L5" s="56">
        <f>IF(J5="","",J5+IF(K5="",0,K5))</f>
        <v/>
      </c>
      <c r="M5" s="57" t="n"/>
      <c r="N5" s="58" t="n"/>
      <c r="O5" s="59" t="inlineStr">
        <is>
          <t>NU</t>
        </is>
      </c>
      <c r="P5" s="60" t="n"/>
      <c r="Q5" s="60" t="n"/>
      <c r="R5" s="60">
        <f>IF(P5="","",P5-IF(Q5="",0,Q5))</f>
        <v/>
      </c>
      <c r="S5" s="60" t="n"/>
      <c r="T5" s="60">
        <f>IF(Q5="","",Q5+IF(S5="",0,S5))</f>
        <v/>
      </c>
      <c r="U5" s="61" t="n"/>
      <c r="V5" s="62" t="n"/>
    </row>
    <row r="6" ht="20" customHeight="1">
      <c r="A6" s="6" t="inlineStr">
        <is>
          <t>ALUGUÉL</t>
        </is>
      </c>
      <c r="B6" s="37" t="n"/>
      <c r="C6" s="38" t="n"/>
      <c r="D6" s="39" t="n"/>
      <c r="E6" s="9" t="inlineStr">
        <is>
          <t>Consignado BB</t>
        </is>
      </c>
      <c r="F6" s="40" t="n"/>
      <c r="G6" s="41" t="n"/>
      <c r="H6" s="41" t="n"/>
      <c r="I6" s="15" t="inlineStr">
        <is>
          <t>HAP EWE E EFRA</t>
        </is>
      </c>
      <c r="J6" s="42" t="n"/>
      <c r="K6" s="42" t="n"/>
      <c r="L6" s="42">
        <f>IF(J6="","",J6+IF(K6="",0,K6))</f>
        <v/>
      </c>
      <c r="M6" s="43" t="n"/>
      <c r="N6" s="44" t="n"/>
      <c r="O6" s="18" t="inlineStr">
        <is>
          <t>Santander SX</t>
        </is>
      </c>
      <c r="P6" s="45" t="n"/>
      <c r="Q6" s="45" t="n"/>
      <c r="R6" s="45">
        <f>IF(P6="","",P6-IF(Q6="",0,Q6))</f>
        <v/>
      </c>
      <c r="S6" s="45" t="n"/>
      <c r="T6" s="45">
        <f>IF(Q6="","",Q6+IF(S6="",0,S6))</f>
        <v/>
      </c>
      <c r="U6" s="46" t="n"/>
      <c r="V6" s="47" t="n"/>
    </row>
    <row r="7" ht="20" customHeight="1">
      <c r="A7" s="48" t="inlineStr">
        <is>
          <t>Wagner</t>
        </is>
      </c>
      <c r="B7" s="49" t="n"/>
      <c r="C7" s="50" t="n"/>
      <c r="D7" s="51" t="n"/>
      <c r="E7" s="52" t="inlineStr">
        <is>
          <t>Emp.Sal.BB</t>
        </is>
      </c>
      <c r="F7" s="53" t="n"/>
      <c r="G7" s="54" t="n"/>
      <c r="H7" s="54" t="n"/>
      <c r="I7" s="55" t="inlineStr">
        <is>
          <t>CELPA ENERGIA</t>
        </is>
      </c>
      <c r="J7" s="56" t="n"/>
      <c r="K7" s="56" t="n"/>
      <c r="L7" s="56">
        <f>IF(J7="","",J7+IF(K7="",0,K7))</f>
        <v/>
      </c>
      <c r="M7" s="57" t="n"/>
      <c r="N7" s="58" t="n"/>
      <c r="O7" s="59" t="inlineStr">
        <is>
          <t>SELITE</t>
        </is>
      </c>
      <c r="P7" s="60" t="n"/>
      <c r="Q7" s="60" t="n"/>
      <c r="R7" s="60">
        <f>IF(P7="","",P7-IF(Q7="",0,Q7))</f>
        <v/>
      </c>
      <c r="S7" s="60" t="n"/>
      <c r="T7" s="60">
        <f>IF(Q7="","",Q7+IF(S7="",0,S7))</f>
        <v/>
      </c>
      <c r="U7" s="61" t="n"/>
      <c r="V7" s="62" t="n"/>
    </row>
    <row r="8" ht="20" customHeight="1">
      <c r="A8" s="6" t="inlineStr">
        <is>
          <t>Neto</t>
        </is>
      </c>
      <c r="B8" s="37" t="n"/>
      <c r="C8" s="38" t="n"/>
      <c r="D8" s="39" t="n"/>
      <c r="E8" s="9" t="inlineStr">
        <is>
          <t>AUX.TRANSP</t>
        </is>
      </c>
      <c r="F8" s="40" t="n"/>
      <c r="G8" s="41" t="n"/>
      <c r="H8" s="41" t="n"/>
      <c r="I8" s="15" t="inlineStr">
        <is>
          <t>SEATELECOM</t>
        </is>
      </c>
      <c r="J8" s="42" t="n"/>
      <c r="K8" s="42" t="n"/>
      <c r="L8" s="42">
        <f>IF(J8="","",J8+IF(K8="",0,K8))</f>
        <v/>
      </c>
      <c r="M8" s="43" t="n"/>
      <c r="N8" s="44" t="n"/>
      <c r="O8" s="18" t="inlineStr">
        <is>
          <t>Caixa Gold</t>
        </is>
      </c>
      <c r="P8" s="45" t="n"/>
      <c r="Q8" s="45" t="n"/>
      <c r="R8" s="45">
        <f>IF(P8="","",P8-IF(Q8="",0,Q8))</f>
        <v/>
      </c>
      <c r="S8" s="45" t="n"/>
      <c r="T8" s="45">
        <f>IF(Q8="","",Q8+IF(S8="",0,S8))</f>
        <v/>
      </c>
      <c r="U8" s="46" t="n"/>
      <c r="V8" s="47" t="n"/>
    </row>
    <row r="9" ht="20" customHeight="1">
      <c r="A9" s="48" t="inlineStr">
        <is>
          <t>UAB</t>
        </is>
      </c>
      <c r="B9" s="49" t="n"/>
      <c r="C9" s="50" t="n"/>
      <c r="D9" s="51" t="n"/>
      <c r="E9" s="52" t="inlineStr">
        <is>
          <t>CONTRI.SOCIAL</t>
        </is>
      </c>
      <c r="F9" s="53" t="n"/>
      <c r="G9" s="54" t="n"/>
      <c r="H9" s="54" t="n"/>
      <c r="I9" s="55" t="inlineStr">
        <is>
          <t>TX.ÁLAMO</t>
        </is>
      </c>
      <c r="J9" s="56" t="n"/>
      <c r="K9" s="56" t="n"/>
      <c r="L9" s="56">
        <f>IF(J9="","",J9+IF(K9="",0,K9))</f>
        <v/>
      </c>
      <c r="M9" s="57" t="n"/>
      <c r="N9" s="58" t="n"/>
      <c r="O9" s="59" t="inlineStr">
        <is>
          <t>Cartão MP</t>
        </is>
      </c>
      <c r="P9" s="60" t="n"/>
      <c r="Q9" s="60" t="n"/>
      <c r="R9" s="60">
        <f>IF(P9="","",P9-IF(Q9="",0,Q9))</f>
        <v/>
      </c>
      <c r="S9" s="60" t="n"/>
      <c r="T9" s="60">
        <f>IF(Q9="","",Q9+IF(S9="",0,S9))</f>
        <v/>
      </c>
      <c r="U9" s="61" t="n"/>
      <c r="V9" s="62" t="n"/>
    </row>
    <row r="10" ht="20" customHeight="1">
      <c r="A10" s="6" t="inlineStr"/>
      <c r="B10" s="37" t="n"/>
      <c r="C10" s="38" t="n"/>
      <c r="D10" s="39" t="n"/>
      <c r="E10" s="9" t="inlineStr">
        <is>
          <t>IRRF</t>
        </is>
      </c>
      <c r="F10" s="40" t="n"/>
      <c r="G10" s="41" t="n"/>
      <c r="H10" s="41" t="n"/>
      <c r="I10" s="15" t="inlineStr">
        <is>
          <t>CONTA TIM</t>
        </is>
      </c>
      <c r="J10" s="42" t="n"/>
      <c r="K10" s="42" t="n"/>
      <c r="L10" s="42">
        <f>IF(J10="","",J10+IF(K10="",0,K10))</f>
        <v/>
      </c>
      <c r="M10" s="43" t="n"/>
      <c r="N10" s="44" t="n"/>
      <c r="O10" s="18" t="inlineStr">
        <is>
          <t>PicPay Card</t>
        </is>
      </c>
      <c r="P10" s="45" t="n"/>
      <c r="Q10" s="45" t="n"/>
      <c r="R10" s="45">
        <f>IF(P10="","",P10-IF(Q10="",0,Q10))</f>
        <v/>
      </c>
      <c r="S10" s="45" t="n"/>
      <c r="T10" s="45">
        <f>IF(Q10="","",Q10+IF(S10="",0,S10))</f>
        <v/>
      </c>
      <c r="U10" s="46" t="n"/>
      <c r="V10" s="47" t="n"/>
    </row>
    <row r="11" ht="20" customHeight="1">
      <c r="A11" s="48" t="inlineStr"/>
      <c r="B11" s="49" t="n"/>
      <c r="C11" s="50" t="n"/>
      <c r="D11" s="51" t="n"/>
      <c r="E11" s="52" t="inlineStr">
        <is>
          <t>AUX.PRÉ.ESC</t>
        </is>
      </c>
      <c r="F11" s="53" t="n"/>
      <c r="G11" s="54" t="n"/>
      <c r="H11" s="54" t="n"/>
      <c r="I11" s="55" t="inlineStr">
        <is>
          <t>CONTA CLARO</t>
        </is>
      </c>
      <c r="J11" s="56" t="n"/>
      <c r="K11" s="56" t="n"/>
      <c r="L11" s="56">
        <f>IF(J11="","",J11+IF(K11="",0,K11))</f>
        <v/>
      </c>
      <c r="M11" s="57" t="n"/>
      <c r="N11" s="58" t="n"/>
      <c r="O11" s="59" t="inlineStr">
        <is>
          <t>Itaú Card</t>
        </is>
      </c>
      <c r="P11" s="60" t="n"/>
      <c r="Q11" s="60" t="n"/>
      <c r="R11" s="60">
        <f>IF(P11="","",P11-IF(Q11="",0,Q11))</f>
        <v/>
      </c>
      <c r="S11" s="60" t="n"/>
      <c r="T11" s="60">
        <f>IF(Q11="","",Q11+IF(S11="",0,S11))</f>
        <v/>
      </c>
      <c r="U11" s="61" t="n"/>
      <c r="V11" s="62" t="n"/>
    </row>
    <row r="12" ht="20" customHeight="1">
      <c r="A12" s="6" t="inlineStr"/>
      <c r="B12" s="37" t="n"/>
      <c r="C12" s="38" t="n"/>
      <c r="D12" s="39" t="n"/>
      <c r="E12" s="9" t="inlineStr">
        <is>
          <t>Dízimo</t>
        </is>
      </c>
      <c r="F12" s="40" t="n"/>
      <c r="G12" s="41" t="n"/>
      <c r="H12" s="41" t="n"/>
      <c r="I12" s="15" t="inlineStr">
        <is>
          <t>MAXÍDOMINI</t>
        </is>
      </c>
      <c r="J12" s="42" t="n"/>
      <c r="K12" s="42" t="n"/>
      <c r="L12" s="42">
        <f>IF(J12="","",J12+IF(K12="",0,K12))</f>
        <v/>
      </c>
      <c r="M12" s="43" t="n"/>
      <c r="N12" s="44" t="n"/>
      <c r="O12" s="18" t="inlineStr">
        <is>
          <t>CAIXA ELO</t>
        </is>
      </c>
      <c r="P12" s="45" t="n"/>
      <c r="Q12" s="45" t="n"/>
      <c r="R12" s="45">
        <f>IF(P12="","",P12-IF(Q12="",0,Q12))</f>
        <v/>
      </c>
      <c r="S12" s="45" t="n"/>
      <c r="T12" s="45">
        <f>IF(Q12="","",Q12+IF(S12="",0,S12))</f>
        <v/>
      </c>
      <c r="U12" s="46" t="n"/>
      <c r="V12" s="47" t="n"/>
    </row>
    <row r="13" ht="20" customHeight="1">
      <c r="A13" s="48" t="inlineStr"/>
      <c r="B13" s="49" t="n"/>
      <c r="C13" s="50" t="n"/>
      <c r="D13" s="51" t="n"/>
      <c r="E13" s="52" t="inlineStr"/>
      <c r="F13" s="53" t="n"/>
      <c r="G13" s="54" t="n"/>
      <c r="H13" s="54" t="n"/>
      <c r="I13" s="55" t="inlineStr">
        <is>
          <t>COSANPA/ÁGUA</t>
        </is>
      </c>
      <c r="J13" s="56" t="n"/>
      <c r="K13" s="56" t="n"/>
      <c r="L13" s="56">
        <f>IF(J13="","",J13+IF(K13="",0,K13))</f>
        <v/>
      </c>
      <c r="M13" s="57" t="n"/>
      <c r="N13" s="58" t="n"/>
      <c r="O13" s="59" t="inlineStr">
        <is>
          <t>Bradesco</t>
        </is>
      </c>
      <c r="P13" s="60" t="n"/>
      <c r="Q13" s="60" t="n"/>
      <c r="R13" s="60">
        <f>IF(P13="","",P13-IF(Q13="",0,Q13))</f>
        <v/>
      </c>
      <c r="S13" s="60" t="n"/>
      <c r="T13" s="60">
        <f>IF(Q13="","",Q13+IF(S13="",0,S13))</f>
        <v/>
      </c>
      <c r="U13" s="61" t="n"/>
      <c r="V13" s="62" t="n"/>
    </row>
    <row r="14" ht="20" customHeight="1">
      <c r="A14" s="6" t="inlineStr"/>
      <c r="B14" s="37" t="n"/>
      <c r="C14" s="38" t="n"/>
      <c r="D14" s="39" t="n"/>
      <c r="E14" s="9" t="inlineStr"/>
      <c r="F14" s="40" t="n"/>
      <c r="G14" s="41" t="n"/>
      <c r="H14" s="41" t="n"/>
      <c r="I14" s="15" t="inlineStr">
        <is>
          <t>ESCOLA SALMOM</t>
        </is>
      </c>
      <c r="J14" s="42" t="n"/>
      <c r="K14" s="42" t="n"/>
      <c r="L14" s="42">
        <f>IF(J14="","",J14+IF(K14="",0,K14))</f>
        <v/>
      </c>
      <c r="M14" s="43" t="n"/>
      <c r="N14" s="44" t="n"/>
      <c r="O14" s="18" t="inlineStr">
        <is>
          <t>RecargaPay</t>
        </is>
      </c>
      <c r="P14" s="45" t="n"/>
      <c r="Q14" s="45" t="n"/>
      <c r="R14" s="45">
        <f>IF(P14="","",P14-IF(Q14="",0,Q14))</f>
        <v/>
      </c>
      <c r="S14" s="45" t="n"/>
      <c r="T14" s="45">
        <f>IF(Q14="","",Q14+IF(S14="",0,S14))</f>
        <v/>
      </c>
      <c r="U14" s="46" t="n"/>
      <c r="V14" s="47" t="n"/>
    </row>
    <row r="15" ht="20" customHeight="1">
      <c r="A15" s="48" t="inlineStr"/>
      <c r="B15" s="49" t="n"/>
      <c r="C15" s="50" t="n"/>
      <c r="D15" s="51" t="n"/>
      <c r="E15" s="52" t="inlineStr"/>
      <c r="F15" s="53" t="n"/>
      <c r="G15" s="54" t="n"/>
      <c r="H15" s="54" t="n"/>
      <c r="I15" s="55" t="inlineStr">
        <is>
          <t>CORECON</t>
        </is>
      </c>
      <c r="J15" s="56" t="n"/>
      <c r="K15" s="56" t="n"/>
      <c r="L15" s="56">
        <f>IF(J15="","",J15+IF(K15="",0,K15))</f>
        <v/>
      </c>
      <c r="M15" s="57" t="n"/>
      <c r="N15" s="58" t="n"/>
      <c r="O15" s="59" t="inlineStr">
        <is>
          <t>BipaCard</t>
        </is>
      </c>
      <c r="P15" s="60" t="n"/>
      <c r="Q15" s="60" t="n"/>
      <c r="R15" s="60">
        <f>IF(P15="","",P15-IF(Q15="",0,Q15))</f>
        <v/>
      </c>
      <c r="S15" s="60" t="n"/>
      <c r="T15" s="60">
        <f>IF(Q15="","",Q15+IF(S15="",0,S15))</f>
        <v/>
      </c>
      <c r="U15" s="61" t="n"/>
      <c r="V15" s="62" t="n"/>
    </row>
    <row r="16" ht="20" customHeight="1">
      <c r="A16" s="6" t="inlineStr"/>
      <c r="B16" s="37" t="n"/>
      <c r="C16" s="38" t="n"/>
      <c r="D16" s="39" t="n"/>
      <c r="E16" s="9" t="inlineStr"/>
      <c r="F16" s="40" t="n"/>
      <c r="G16" s="41" t="n"/>
      <c r="H16" s="41" t="n"/>
      <c r="I16" s="15" t="inlineStr">
        <is>
          <t>Boticário</t>
        </is>
      </c>
      <c r="J16" s="42" t="n"/>
      <c r="K16" s="42" t="n"/>
      <c r="L16" s="42">
        <f>IF(J16="","",J16+IF(K16="",0,K16))</f>
        <v/>
      </c>
      <c r="M16" s="43" t="n"/>
      <c r="N16" s="44" t="n"/>
      <c r="O16" s="18" t="inlineStr">
        <is>
          <t>InfinitCard</t>
        </is>
      </c>
      <c r="P16" s="45" t="n"/>
      <c r="Q16" s="45" t="n"/>
      <c r="R16" s="45">
        <f>IF(P16="","",P16-IF(Q16="",0,Q16))</f>
        <v/>
      </c>
      <c r="S16" s="45" t="n"/>
      <c r="T16" s="45">
        <f>IF(Q16="","",Q16+IF(S16="",0,S16))</f>
        <v/>
      </c>
      <c r="U16" s="46" t="n"/>
      <c r="V16" s="47" t="n"/>
    </row>
    <row r="17" ht="20" customHeight="1">
      <c r="A17" s="48" t="inlineStr"/>
      <c r="B17" s="49" t="n"/>
      <c r="C17" s="50" t="n"/>
      <c r="D17" s="51" t="n"/>
      <c r="E17" s="52" t="inlineStr"/>
      <c r="F17" s="53" t="n"/>
      <c r="G17" s="54" t="n"/>
      <c r="H17" s="54" t="n"/>
      <c r="I17" s="55" t="inlineStr">
        <is>
          <t>Rodobens</t>
        </is>
      </c>
      <c r="J17" s="56" t="n"/>
      <c r="K17" s="56" t="n"/>
      <c r="L17" s="56">
        <f>IF(J17="","",J17+IF(K17="",0,K17))</f>
        <v/>
      </c>
      <c r="M17" s="57" t="n"/>
      <c r="N17" s="58" t="n"/>
      <c r="O17" s="59" t="inlineStr">
        <is>
          <t>Pagbank</t>
        </is>
      </c>
      <c r="P17" s="60" t="n"/>
      <c r="Q17" s="60" t="n"/>
      <c r="R17" s="60">
        <f>IF(P17="","",P17-IF(Q17="",0,Q17))</f>
        <v/>
      </c>
      <c r="S17" s="60" t="n"/>
      <c r="T17" s="60">
        <f>IF(Q17="","",Q17+IF(S17="",0,S17))</f>
        <v/>
      </c>
      <c r="U17" s="61" t="n"/>
      <c r="V17" s="62" t="n"/>
    </row>
    <row r="18" ht="20" customHeight="1">
      <c r="A18" s="6" t="inlineStr"/>
      <c r="B18" s="37" t="n"/>
      <c r="C18" s="38" t="n"/>
      <c r="D18" s="39" t="n"/>
      <c r="E18" s="9" t="inlineStr"/>
      <c r="F18" s="40" t="n"/>
      <c r="G18" s="41" t="n"/>
      <c r="H18" s="41" t="n"/>
      <c r="I18" s="15" t="inlineStr"/>
      <c r="J18" s="42" t="n"/>
      <c r="K18" s="42" t="n"/>
      <c r="L18" s="42">
        <f>IF(J18="","",J18+IF(K18="",0,K18))</f>
        <v/>
      </c>
      <c r="M18" s="43" t="n"/>
      <c r="N18" s="44" t="n"/>
      <c r="O18" s="18" t="inlineStr">
        <is>
          <t>TonCard</t>
        </is>
      </c>
      <c r="P18" s="45" t="n"/>
      <c r="Q18" s="45" t="n"/>
      <c r="R18" s="45">
        <f>IF(P18="","",P18-IF(Q18="",0,Q18))</f>
        <v/>
      </c>
      <c r="S18" s="45" t="n"/>
      <c r="T18" s="45">
        <f>IF(Q18="","",Q18+IF(S18="",0,S18))</f>
        <v/>
      </c>
      <c r="U18" s="46" t="n"/>
      <c r="V18" s="47" t="n"/>
    </row>
    <row r="19" ht="20" customHeight="1">
      <c r="A19" s="48" t="inlineStr"/>
      <c r="B19" s="49" t="n"/>
      <c r="C19" s="50" t="n"/>
      <c r="D19" s="51" t="n"/>
      <c r="E19" s="52" t="inlineStr"/>
      <c r="F19" s="53" t="n"/>
      <c r="G19" s="54" t="n"/>
      <c r="H19" s="54" t="n"/>
      <c r="I19" s="55" t="inlineStr"/>
      <c r="J19" s="56" t="n"/>
      <c r="K19" s="56" t="n"/>
      <c r="L19" s="56">
        <f>IF(J19="","",J19+IF(K19="",0,K19))</f>
        <v/>
      </c>
      <c r="M19" s="57" t="n"/>
      <c r="N19" s="58" t="n"/>
      <c r="O19" s="59" t="inlineStr"/>
      <c r="P19" s="60" t="n"/>
      <c r="Q19" s="60" t="n"/>
      <c r="R19" s="60">
        <f>IF(P19="","",P19-IF(Q19="",0,Q19))</f>
        <v/>
      </c>
      <c r="S19" s="60" t="n"/>
      <c r="T19" s="60">
        <f>IF(Q19="","",Q19+IF(S19="",0,S19))</f>
        <v/>
      </c>
      <c r="U19" s="61" t="n"/>
      <c r="V19" s="62" t="n"/>
    </row>
    <row r="20" ht="22" customHeight="1">
      <c r="A20" s="63" t="inlineStr">
        <is>
          <t>RECEITA TOTAL</t>
        </is>
      </c>
      <c r="B20" s="8">
        <f>SUM(B4:B19)</f>
        <v/>
      </c>
      <c r="C20" s="64" t="n"/>
      <c r="D20" s="64" t="n"/>
      <c r="E20" s="65" t="inlineStr">
        <is>
          <t>TOTAL DESCONTOS</t>
        </is>
      </c>
      <c r="F20" s="11">
        <f>SUM(F4:F19)</f>
        <v/>
      </c>
      <c r="G20" s="66" t="n"/>
      <c r="H20" s="66" t="n"/>
      <c r="I20" s="67" t="inlineStr">
        <is>
          <t>TOTAL FIXAS (CET)</t>
        </is>
      </c>
      <c r="J20" s="21">
        <f>SUM(J4:J19)</f>
        <v/>
      </c>
      <c r="K20" s="21">
        <f>SUM(K4:K19)</f>
        <v/>
      </c>
      <c r="L20" s="21">
        <f>SUM(L4:L19)</f>
        <v/>
      </c>
      <c r="M20" s="68" t="n"/>
      <c r="N20" s="68" t="n"/>
      <c r="O20" s="69" t="inlineStr">
        <is>
          <t>TOTAL CARTÕES</t>
        </is>
      </c>
      <c r="P20" s="70">
        <f>SUM(P4:P19)</f>
        <v/>
      </c>
      <c r="Q20" s="70">
        <f>SUM(Q4:Q19)</f>
        <v/>
      </c>
      <c r="R20" s="70">
        <f>SUM(R4:R19)</f>
        <v/>
      </c>
      <c r="S20" s="70">
        <f>SUM(S4:S19)</f>
        <v/>
      </c>
      <c r="T20" s="70">
        <f>SUM(T4:T19)</f>
        <v/>
      </c>
      <c r="U20" s="71" t="n"/>
      <c r="V20" s="71" t="n"/>
    </row>
    <row r="21">
      <c r="O21" s="72" t="inlineStr">
        <is>
          <t>¹ SALDO = Fatura − Pago  (valor não quitado = nova dívida do mês)</t>
        </is>
      </c>
    </row>
    <row r="22" ht="22" customHeight="1">
      <c r="A22" s="73" t="inlineStr">
        <is>
          <t>ASSINATURAS ONLINE</t>
        </is>
      </c>
      <c r="F22" s="73" t="inlineStr">
        <is>
          <t>NOTAS / EMPRÉSTIMOS / CONSIGNADOS</t>
        </is>
      </c>
    </row>
    <row r="23" ht="20" customHeight="1">
      <c r="A23" s="74" t="inlineStr">
        <is>
          <t>CARTÃO</t>
        </is>
      </c>
      <c r="B23" s="74" t="inlineStr">
        <is>
          <t>SERVIÇO</t>
        </is>
      </c>
      <c r="C23" s="74" t="inlineStr">
        <is>
          <t>VALOR</t>
        </is>
      </c>
      <c r="D23" s="74" t="inlineStr">
        <is>
          <t>DIA/SITUAÇÃO</t>
        </is>
      </c>
      <c r="F23" s="74" t="inlineStr">
        <is>
          <t>DESCRIÇÃO</t>
        </is>
      </c>
      <c r="G23" s="74" t="inlineStr">
        <is>
          <t>TAXA (am)</t>
        </is>
      </c>
      <c r="H23" s="74" t="inlineStr">
        <is>
          <t>TAXA (aa)</t>
        </is>
      </c>
      <c r="I23" s="74" t="inlineStr">
        <is>
          <t>OBS / SALDO</t>
        </is>
      </c>
    </row>
    <row r="24" ht="18" customHeight="1">
      <c r="A24" s="75" t="inlineStr">
        <is>
          <t>NU</t>
        </is>
      </c>
      <c r="B24" s="22" t="inlineStr">
        <is>
          <t>GDRIVE SABRI</t>
        </is>
      </c>
      <c r="C24" s="23" t="n">
        <v>49.9</v>
      </c>
      <c r="D24" s="22" t="inlineStr">
        <is>
          <t>DIA 04 — CRÉDITO (NU)</t>
        </is>
      </c>
      <c r="F24" s="22" t="inlineStr">
        <is>
          <t>Consignado Nubank 1</t>
        </is>
      </c>
      <c r="G24" s="75" t="inlineStr">
        <is>
          <t>1.30% am</t>
        </is>
      </c>
      <c r="H24" s="75" t="inlineStr">
        <is>
          <t>16.74% aa</t>
        </is>
      </c>
      <c r="I24" s="22" t="inlineStr">
        <is>
          <t>73x</t>
        </is>
      </c>
    </row>
    <row r="25" ht="18" customHeight="1">
      <c r="A25" s="76" t="inlineStr">
        <is>
          <t>NU</t>
        </is>
      </c>
      <c r="B25" s="77" t="inlineStr">
        <is>
          <t>CONTA TIM</t>
        </is>
      </c>
      <c r="C25" s="78" t="n">
        <v>42</v>
      </c>
      <c r="D25" s="77" t="inlineStr">
        <is>
          <t>DIA 15 — PG MANUAL</t>
        </is>
      </c>
      <c r="F25" s="77" t="inlineStr">
        <is>
          <t>Consignado Nubank 2</t>
        </is>
      </c>
      <c r="G25" s="76" t="inlineStr">
        <is>
          <t>1.57% am</t>
        </is>
      </c>
      <c r="H25" s="76" t="inlineStr">
        <is>
          <t>21.85% aa</t>
        </is>
      </c>
      <c r="I25" s="77" t="inlineStr">
        <is>
          <t>96x — saldo R$776,82</t>
        </is>
      </c>
    </row>
    <row r="26" ht="18" customHeight="1">
      <c r="A26" s="75" t="inlineStr">
        <is>
          <t>SANTANDER SX</t>
        </is>
      </c>
      <c r="B26" s="22" t="inlineStr">
        <is>
          <t>PLANO CLARO</t>
        </is>
      </c>
      <c r="C26" s="23" t="n">
        <v>73.73</v>
      </c>
      <c r="D26" s="22" t="inlineStr">
        <is>
          <t>DIA 09 — PG MANUAL</t>
        </is>
      </c>
      <c r="F26" s="22" t="inlineStr">
        <is>
          <t>Fin. Habitação CAIXA</t>
        </is>
      </c>
      <c r="G26" s="75" t="inlineStr">
        <is>
          <t>7% nominal</t>
        </is>
      </c>
      <c r="H26" s="75" t="inlineStr"/>
      <c r="I26" s="22" t="inlineStr"/>
    </row>
    <row r="27" ht="18" customHeight="1">
      <c r="A27" s="76" t="inlineStr">
        <is>
          <t>NU</t>
        </is>
      </c>
      <c r="B27" s="77" t="inlineStr">
        <is>
          <t>YOUTUBE ST</t>
        </is>
      </c>
      <c r="C27" s="78" t="n">
        <v>53.9</v>
      </c>
      <c r="D27" s="77" t="inlineStr">
        <is>
          <t>DIA 25 — CRÉDITO (NU)</t>
        </is>
      </c>
      <c r="F27" s="77" t="inlineStr">
        <is>
          <t>Empréstimo Sabrina</t>
        </is>
      </c>
      <c r="G27" s="76" t="inlineStr"/>
      <c r="H27" s="76" t="inlineStr"/>
      <c r="I27" s="77" t="inlineStr">
        <is>
          <t>saldo R$2.503,46</t>
        </is>
      </c>
    </row>
    <row r="28" ht="18" customHeight="1">
      <c r="A28" s="75" t="inlineStr">
        <is>
          <t>NU</t>
        </is>
      </c>
      <c r="B28" s="22" t="inlineStr">
        <is>
          <t>ICLOUD</t>
        </is>
      </c>
      <c r="C28" s="23" t="n">
        <v>5.9</v>
      </c>
      <c r="D28" s="22" t="inlineStr">
        <is>
          <t>DIA 01 — CRÉDITO (NU)</t>
        </is>
      </c>
      <c r="F28" s="22" t="inlineStr">
        <is>
          <t>Empréstimo Josy</t>
        </is>
      </c>
      <c r="G28" s="75" t="inlineStr"/>
      <c r="H28" s="75" t="inlineStr"/>
      <c r="I28" s="22" t="inlineStr"/>
    </row>
    <row r="29" ht="18" customHeight="1">
      <c r="A29" s="76" t="inlineStr"/>
      <c r="B29" s="77" t="inlineStr">
        <is>
          <t>Serasa</t>
        </is>
      </c>
      <c r="C29" s="78" t="n">
        <v>23.9</v>
      </c>
      <c r="D29" s="77" t="inlineStr">
        <is>
          <t xml:space="preserve">DIA 17 — </t>
        </is>
      </c>
      <c r="F29" s="77" t="inlineStr"/>
      <c r="G29" s="76" t="inlineStr"/>
      <c r="H29" s="76" t="inlineStr"/>
      <c r="I29" s="77" t="inlineStr"/>
    </row>
    <row r="30" ht="18" customHeight="1">
      <c r="A30" s="75" t="inlineStr"/>
      <c r="B30" s="22" t="inlineStr">
        <is>
          <t>Kindle</t>
        </is>
      </c>
      <c r="C30" s="23" t="n">
        <v>24</v>
      </c>
      <c r="D30" s="22" t="inlineStr"/>
      <c r="F30" s="22" t="inlineStr"/>
      <c r="G30" s="75" t="inlineStr"/>
      <c r="H30" s="75" t="inlineStr"/>
      <c r="I30" s="22" t="inlineStr"/>
    </row>
    <row r="31" ht="18" customHeight="1">
      <c r="A31" s="76" t="inlineStr">
        <is>
          <t>NU</t>
        </is>
      </c>
      <c r="B31" s="77" t="inlineStr">
        <is>
          <t>GPT</t>
        </is>
      </c>
      <c r="C31" s="78" t="n">
        <v>130</v>
      </c>
      <c r="D31" s="77" t="inlineStr">
        <is>
          <t>DIA 02 — CRÉDITO (NU)</t>
        </is>
      </c>
    </row>
    <row r="32" ht="18" customHeight="1">
      <c r="A32" s="75" t="inlineStr">
        <is>
          <t>NU</t>
        </is>
      </c>
      <c r="B32" s="22" t="inlineStr">
        <is>
          <t>Copilot</t>
        </is>
      </c>
      <c r="C32" s="23" t="n">
        <v>109.9</v>
      </c>
      <c r="D32" s="22" t="inlineStr">
        <is>
          <t>DIA 04 — CRÉDITO (NU)</t>
        </is>
      </c>
    </row>
    <row r="33" ht="18" customHeight="1">
      <c r="A33" s="76" t="inlineStr">
        <is>
          <t>NU</t>
        </is>
      </c>
      <c r="B33" s="77" t="inlineStr">
        <is>
          <t>WORD</t>
        </is>
      </c>
      <c r="C33" s="78" t="n">
        <v>0</v>
      </c>
      <c r="D33" s="77" t="inlineStr">
        <is>
          <t>Anual — CRÉDITO (NU)</t>
        </is>
      </c>
    </row>
    <row r="34" ht="18" customHeight="1">
      <c r="A34" s="75" t="inlineStr">
        <is>
          <t>NU</t>
        </is>
      </c>
      <c r="B34" s="22" t="inlineStr">
        <is>
          <t>GDRIVE EWE</t>
        </is>
      </c>
      <c r="C34" s="23" t="n">
        <v>0</v>
      </c>
      <c r="D34" s="22" t="inlineStr">
        <is>
          <t>Ago/26 — CRÉDITO (NU)</t>
        </is>
      </c>
    </row>
    <row r="35" ht="18" customHeight="1">
      <c r="A35" s="76" t="inlineStr"/>
      <c r="B35" s="77" t="inlineStr">
        <is>
          <t>PDFVIEW</t>
        </is>
      </c>
      <c r="C35" s="78" t="n">
        <v>0</v>
      </c>
      <c r="D35" s="77" t="inlineStr">
        <is>
          <t>CRÉDITO (NU)</t>
        </is>
      </c>
    </row>
    <row r="36" ht="20" customHeight="1">
      <c r="A36" s="79" t="inlineStr">
        <is>
          <t>TOTAL ASSINATURAS</t>
        </is>
      </c>
      <c r="C36" s="24">
        <f>SUM(C24:C35)</f>
        <v/>
      </c>
      <c r="D36" s="3" t="n"/>
    </row>
    <row r="38" ht="22" customHeight="1">
      <c r="A38" s="80" t="inlineStr">
        <is>
          <t>CHEQUE ESPECIAL / DÍVIDAS FINANCEIRAS</t>
        </is>
      </c>
    </row>
    <row r="39" ht="22" customHeight="1">
      <c r="A39" s="35" t="inlineStr">
        <is>
          <t>BANCO</t>
        </is>
      </c>
      <c r="B39" s="35" t="inlineStr">
        <is>
          <t>LIMITE</t>
        </is>
      </c>
      <c r="C39" s="35" t="inlineStr">
        <is>
          <t>USADO</t>
        </is>
      </c>
      <c r="D39" s="35" t="inlineStr">
        <is>
          <t>JUROS MÊS</t>
        </is>
      </c>
      <c r="E39" s="35" t="inlineStr">
        <is>
          <t>TAXA % aa</t>
        </is>
      </c>
      <c r="F39" s="35" t="inlineStr">
        <is>
          <t>DIAS</t>
        </is>
      </c>
      <c r="G39" s="35" t="inlineStr">
        <is>
          <t>SITUAÇÃO</t>
        </is>
      </c>
    </row>
    <row r="40" ht="19" customHeight="1">
      <c r="A40" s="15" t="inlineStr">
        <is>
          <t>BB</t>
        </is>
      </c>
      <c r="B40" s="16" t="n"/>
      <c r="C40" s="16" t="n"/>
      <c r="D40" s="16" t="n"/>
      <c r="E40" s="81" t="n"/>
      <c r="F40" s="81" t="n"/>
      <c r="G40" s="81" t="n"/>
    </row>
    <row r="41" ht="19" customHeight="1">
      <c r="A41" s="55" t="inlineStr">
        <is>
          <t>Santander</t>
        </is>
      </c>
      <c r="B41" s="82" t="n"/>
      <c r="C41" s="82" t="n"/>
      <c r="D41" s="82" t="n"/>
      <c r="E41" s="83" t="n"/>
      <c r="F41" s="83" t="n"/>
      <c r="G41" s="83" t="n"/>
    </row>
    <row r="42" ht="19" customHeight="1">
      <c r="A42" s="15" t="inlineStr">
        <is>
          <t>Caixa</t>
        </is>
      </c>
      <c r="B42" s="16" t="n"/>
      <c r="C42" s="16" t="n"/>
      <c r="D42" s="16" t="n"/>
      <c r="E42" s="81" t="n"/>
      <c r="F42" s="81" t="n"/>
      <c r="G42" s="81" t="n"/>
    </row>
    <row r="43" ht="19" customHeight="1">
      <c r="A43" s="55" t="inlineStr">
        <is>
          <t>Itaú</t>
        </is>
      </c>
      <c r="B43" s="82" t="n"/>
      <c r="C43" s="82" t="n"/>
      <c r="D43" s="82" t="n"/>
      <c r="E43" s="83" t="n"/>
      <c r="F43" s="83" t="n"/>
      <c r="G43" s="83" t="n"/>
    </row>
    <row r="44" ht="19" customHeight="1">
      <c r="A44" s="15" t="inlineStr">
        <is>
          <t>Bradesco</t>
        </is>
      </c>
      <c r="B44" s="16" t="n"/>
      <c r="C44" s="16" t="n"/>
      <c r="D44" s="16" t="n"/>
      <c r="E44" s="81" t="n"/>
      <c r="F44" s="81" t="n"/>
      <c r="G44" s="81" t="n"/>
    </row>
    <row r="45" ht="20" customHeight="1">
      <c r="A45" s="67" t="inlineStr">
        <is>
          <t>TOTAL CHEQUE ESPECIAL</t>
        </is>
      </c>
      <c r="C45" s="21">
        <f>SUM(C40:C44)</f>
        <v/>
      </c>
      <c r="D45" s="21">
        <f>SUM(D40:D44)</f>
        <v/>
      </c>
      <c r="E45" s="84" t="n"/>
      <c r="F45" s="84" t="n"/>
      <c r="G45" s="84" t="n"/>
    </row>
    <row r="47" ht="28" customHeight="1">
      <c r="A47" s="28" t="inlineStr">
        <is>
          <t xml:space="preserve">  ══  RESULTADO DO MÊS  ══</t>
        </is>
      </c>
    </row>
    <row r="48" ht="19" customHeight="1">
      <c r="A48" s="6" t="inlineStr">
        <is>
          <t>Receita Bruta</t>
        </is>
      </c>
      <c r="F48" s="7">
        <f>B20</f>
        <v/>
      </c>
    </row>
    <row r="49" ht="19" customHeight="1">
      <c r="A49" s="9" t="inlineStr">
        <is>
          <t>(−) Descontos em Folha</t>
        </is>
      </c>
      <c r="F49" s="10">
        <f>F20</f>
        <v/>
      </c>
    </row>
    <row r="50" ht="24" customHeight="1">
      <c r="A50" s="85">
        <f> Receita Líquida</f>
        <v/>
      </c>
      <c r="F50" s="14">
        <f>F48-F49</f>
        <v/>
      </c>
    </row>
    <row r="51" ht="19" customHeight="1">
      <c r="A51" s="15" t="inlineStr">
        <is>
          <t>(−) Despesas Fixas (CET)</t>
        </is>
      </c>
      <c r="F51" s="16">
        <f>L20</f>
        <v/>
      </c>
    </row>
    <row r="52" ht="19" customHeight="1">
      <c r="A52" s="18" t="inlineStr">
        <is>
          <t>(−) Cartões — Valor Pago</t>
        </is>
      </c>
      <c r="F52" s="19">
        <f>Q20</f>
        <v/>
      </c>
    </row>
    <row r="53" ht="19" customHeight="1">
      <c r="A53" s="18" t="inlineStr">
        <is>
          <t>(−) Juros dos Cartões</t>
        </is>
      </c>
      <c r="F53" s="19">
        <f>S20</f>
        <v/>
      </c>
    </row>
    <row r="54" ht="19" customHeight="1">
      <c r="A54" s="15" t="inlineStr">
        <is>
          <t>(−) Juros Cheque Especial</t>
        </is>
      </c>
      <c r="F54" s="16">
        <f>D45</f>
        <v/>
      </c>
    </row>
    <row r="55" ht="19" customHeight="1">
      <c r="A55" s="22" t="inlineStr">
        <is>
          <t>(−) Assinaturas Online</t>
        </is>
      </c>
      <c r="F55" s="23">
        <f>C36</f>
        <v/>
      </c>
    </row>
    <row r="56" ht="24" customHeight="1">
      <c r="A56" s="86">
        <f> SALDO REAL DO MÊS</f>
        <v/>
      </c>
      <c r="F56" s="27">
        <f>F50-F51-F52-F53-F54-F55</f>
        <v/>
      </c>
    </row>
    <row r="57" ht="19" customHeight="1">
      <c r="A57" s="15" t="inlineStr">
        <is>
          <t>⚠  Nova Dívida (cartões não pagos)</t>
        </is>
      </c>
      <c r="F57" s="16">
        <f>R20</f>
        <v/>
      </c>
    </row>
    <row r="59" ht="22" customHeight="1">
      <c r="A59" s="73" t="inlineStr">
        <is>
          <t>CONTAS E SALDOS</t>
        </is>
      </c>
    </row>
    <row r="60" ht="18" customHeight="1">
      <c r="A60" s="74" t="inlineStr">
        <is>
          <t>BANCO / CARTEIRA</t>
        </is>
      </c>
      <c r="B60" s="74" t="inlineStr">
        <is>
          <t>SALDO (R$)</t>
        </is>
      </c>
      <c r="C60" s="74" t="inlineStr">
        <is>
          <t>OBS</t>
        </is>
      </c>
    </row>
    <row r="61" ht="18" customHeight="1">
      <c r="A61" s="22" t="inlineStr">
        <is>
          <t>Saldo CC BB</t>
        </is>
      </c>
      <c r="B61" s="23" t="n"/>
      <c r="C61" s="87" t="n"/>
    </row>
    <row r="62" ht="18" customHeight="1">
      <c r="A62" s="77" t="inlineStr">
        <is>
          <t>Santander</t>
        </is>
      </c>
      <c r="B62" s="78" t="n"/>
      <c r="C62" s="88" t="n"/>
    </row>
    <row r="63" ht="18" customHeight="1">
      <c r="A63" s="22" t="inlineStr">
        <is>
          <t>Caixa</t>
        </is>
      </c>
      <c r="B63" s="23" t="n"/>
      <c r="C63" s="87" t="n"/>
    </row>
    <row r="64" ht="18" customHeight="1">
      <c r="A64" s="77" t="inlineStr">
        <is>
          <t>Bipa</t>
        </is>
      </c>
      <c r="B64" s="78" t="n"/>
      <c r="C64" s="88" t="n"/>
    </row>
    <row r="65" ht="18" customHeight="1">
      <c r="A65" s="22" t="inlineStr">
        <is>
          <t>Nubank</t>
        </is>
      </c>
      <c r="B65" s="23" t="n"/>
      <c r="C65" s="87" t="n"/>
    </row>
    <row r="66" ht="18" customHeight="1">
      <c r="A66" s="77" t="inlineStr">
        <is>
          <t>Itaú</t>
        </is>
      </c>
      <c r="B66" s="78" t="n"/>
      <c r="C66" s="88" t="n"/>
    </row>
    <row r="67" ht="18" customHeight="1">
      <c r="A67" s="22" t="inlineStr">
        <is>
          <t>MP</t>
        </is>
      </c>
      <c r="B67" s="23" t="n"/>
      <c r="C67" s="87" t="n"/>
    </row>
    <row r="68" ht="18" customHeight="1">
      <c r="A68" s="77" t="inlineStr">
        <is>
          <t>KuCoin</t>
        </is>
      </c>
      <c r="B68" s="78" t="n"/>
      <c r="C68" s="88" t="n"/>
    </row>
    <row r="69" ht="18" customHeight="1">
      <c r="A69" s="22" t="inlineStr">
        <is>
          <t>Ton</t>
        </is>
      </c>
      <c r="B69" s="23" t="n"/>
      <c r="C69" s="87" t="n"/>
    </row>
    <row r="70" ht="18" customHeight="1">
      <c r="A70" s="77" t="inlineStr">
        <is>
          <t>Picpay</t>
        </is>
      </c>
      <c r="B70" s="78" t="n"/>
      <c r="C70" s="88" t="n"/>
    </row>
    <row r="71" ht="18" customHeight="1">
      <c r="A71" s="22" t="inlineStr">
        <is>
          <t>Recargapay</t>
        </is>
      </c>
      <c r="B71" s="23" t="n"/>
      <c r="C71" s="87" t="n"/>
    </row>
    <row r="72" ht="18" customHeight="1">
      <c r="A72" s="77" t="inlineStr">
        <is>
          <t>Infinitepay</t>
        </is>
      </c>
      <c r="B72" s="78" t="n"/>
      <c r="C72" s="88" t="n"/>
    </row>
    <row r="73" ht="18" customHeight="1">
      <c r="A73" s="22" t="inlineStr">
        <is>
          <t>PagBank</t>
        </is>
      </c>
      <c r="B73" s="23" t="n"/>
      <c r="C73" s="87" t="n"/>
    </row>
    <row r="74" ht="18" customHeight="1">
      <c r="A74" s="77" t="inlineStr">
        <is>
          <t>C6 BANK</t>
        </is>
      </c>
      <c r="B74" s="78" t="n"/>
      <c r="C74" s="88" t="n"/>
    </row>
    <row r="75" ht="18" customHeight="1">
      <c r="A75" s="22" t="inlineStr">
        <is>
          <t>INTER</t>
        </is>
      </c>
      <c r="B75" s="23" t="n"/>
      <c r="C75" s="87" t="n"/>
    </row>
    <row r="76" ht="18" customHeight="1">
      <c r="A76" s="77" t="inlineStr">
        <is>
          <t>Bradesco</t>
        </is>
      </c>
      <c r="B76" s="78" t="n"/>
      <c r="C76" s="88" t="n"/>
    </row>
    <row r="77" ht="18" customHeight="1">
      <c r="A77" s="22" t="inlineStr">
        <is>
          <t>BTG</t>
        </is>
      </c>
      <c r="B77" s="23" t="n"/>
      <c r="C77" s="87" t="n"/>
    </row>
    <row r="78" ht="20" customHeight="1">
      <c r="A78" s="79" t="inlineStr">
        <is>
          <t>TOTAL EM CONTAS</t>
        </is>
      </c>
      <c r="B78" s="24">
        <f>SUM(B61:B77)</f>
        <v/>
      </c>
      <c r="C78" s="3" t="n"/>
    </row>
  </sheetData>
  <mergeCells count="23">
    <mergeCell ref="A48:E48"/>
    <mergeCell ref="A22:D22"/>
    <mergeCell ref="A45:B45"/>
    <mergeCell ref="A49:E49"/>
    <mergeCell ref="A51:E51"/>
    <mergeCell ref="A36:B36"/>
    <mergeCell ref="A38:G38"/>
    <mergeCell ref="A47:F47"/>
    <mergeCell ref="A54:E54"/>
    <mergeCell ref="A56:E56"/>
    <mergeCell ref="A55:E55"/>
    <mergeCell ref="A50:E50"/>
    <mergeCell ref="A57:E57"/>
    <mergeCell ref="A1:V1"/>
    <mergeCell ref="O21:V21"/>
    <mergeCell ref="A59:C59"/>
    <mergeCell ref="A53:E53"/>
    <mergeCell ref="I2:N2"/>
    <mergeCell ref="O2:V2"/>
    <mergeCell ref="A52:E52"/>
    <mergeCell ref="A2:D2"/>
    <mergeCell ref="E2:H2"/>
    <mergeCell ref="F22:I2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3" customWidth="1" min="3" max="3"/>
    <col width="12" customWidth="1" min="4" max="4"/>
    <col width="24" customWidth="1" min="5" max="5"/>
    <col width="14" customWidth="1" min="6" max="6"/>
    <col width="13" customWidth="1" min="7" max="7"/>
    <col width="13" customWidth="1" min="8" max="8"/>
    <col width="24" customWidth="1" min="9" max="9"/>
    <col width="12" customWidth="1" min="10" max="10"/>
    <col width="9" customWidth="1" min="11" max="11"/>
    <col width="12" customWidth="1" min="12" max="12"/>
    <col width="13" customWidth="1" min="13" max="13"/>
    <col width="12" customWidth="1" min="14" max="14"/>
    <col width="16" customWidth="1" min="15" max="15"/>
    <col width="14" customWidth="1" min="16" max="16"/>
    <col width="14" customWidth="1" min="17" max="17"/>
    <col width="12" customWidth="1" min="18" max="18"/>
    <col width="9" customWidth="1" min="19" max="19"/>
    <col width="12" customWidth="1" min="20" max="20"/>
    <col width="13" customWidth="1" min="21" max="21"/>
    <col width="16" customWidth="1" min="22" max="22"/>
  </cols>
  <sheetData>
    <row r="1" ht="30" customHeight="1">
      <c r="A1" s="28" t="inlineStr">
        <is>
          <t>ORÇAMENTO  NOVEMBRO  2026</t>
        </is>
      </c>
    </row>
    <row r="2" ht="22" customHeight="1">
      <c r="A2" s="29" t="inlineStr">
        <is>
          <t>▶  FONTES DE RECEITA</t>
        </is>
      </c>
      <c r="E2" s="30" t="inlineStr">
        <is>
          <t>▶  DESCONTOS EM FOLHA</t>
        </is>
      </c>
      <c r="I2" s="31" t="inlineStr">
        <is>
          <t>▶  DESPESAS FIXAS</t>
        </is>
      </c>
      <c r="O2" s="32" t="inlineStr">
        <is>
          <t>▶  DESPESAS COM CARTÕES</t>
        </is>
      </c>
    </row>
    <row r="3" ht="26" customHeight="1">
      <c r="A3" s="33" t="inlineStr">
        <is>
          <t>ORIGEM</t>
        </is>
      </c>
      <c r="B3" s="33" t="inlineStr">
        <is>
          <t>VALOR</t>
        </is>
      </c>
      <c r="C3" s="33" t="inlineStr">
        <is>
          <t>SITUAÇÃO</t>
        </is>
      </c>
      <c r="D3" s="33" t="inlineStr">
        <is>
          <t>DATA PG</t>
        </is>
      </c>
      <c r="E3" s="34" t="inlineStr">
        <is>
          <t>ORIGEM</t>
        </is>
      </c>
      <c r="F3" s="34" t="inlineStr">
        <is>
          <t>VALOR</t>
        </is>
      </c>
      <c r="G3" s="34" t="inlineStr">
        <is>
          <t>INFO</t>
        </is>
      </c>
      <c r="H3" s="34" t="inlineStr">
        <is>
          <t>OBS</t>
        </is>
      </c>
      <c r="I3" s="35" t="inlineStr">
        <is>
          <t>ORIGEM</t>
        </is>
      </c>
      <c r="J3" s="35" t="inlineStr">
        <is>
          <t>VALOR</t>
        </is>
      </c>
      <c r="K3" s="35" t="inlineStr">
        <is>
          <t>JUROS</t>
        </is>
      </c>
      <c r="L3" s="35" t="inlineStr">
        <is>
          <t>CET</t>
        </is>
      </c>
      <c r="M3" s="35" t="inlineStr">
        <is>
          <t>SITUAÇÃO</t>
        </is>
      </c>
      <c r="N3" s="35" t="inlineStr">
        <is>
          <t>DATA PG</t>
        </is>
      </c>
      <c r="O3" s="36" t="inlineStr">
        <is>
          <t>CARTÃO</t>
        </is>
      </c>
      <c r="P3" s="36" t="inlineStr">
        <is>
          <t>FATURA</t>
        </is>
      </c>
      <c r="Q3" s="36" t="inlineStr">
        <is>
          <t>PAGO</t>
        </is>
      </c>
      <c r="R3" s="36" t="inlineStr">
        <is>
          <t>SALDO¹</t>
        </is>
      </c>
      <c r="S3" s="36" t="inlineStr">
        <is>
          <t>JUROS</t>
        </is>
      </c>
      <c r="T3" s="36" t="inlineStr">
        <is>
          <t>CET</t>
        </is>
      </c>
      <c r="U3" s="36" t="inlineStr">
        <is>
          <t>SITUAÇÃO</t>
        </is>
      </c>
      <c r="V3" s="36" t="inlineStr">
        <is>
          <t>DATA PG</t>
        </is>
      </c>
    </row>
    <row r="4" ht="20" customHeight="1">
      <c r="A4" s="6" t="inlineStr">
        <is>
          <t>SALÁRIO</t>
        </is>
      </c>
      <c r="B4" s="37" t="n"/>
      <c r="C4" s="38" t="n"/>
      <c r="D4" s="39" t="n"/>
      <c r="E4" s="9" t="inlineStr">
        <is>
          <t>Consignado V.Nbk</t>
        </is>
      </c>
      <c r="F4" s="40" t="n"/>
      <c r="G4" s="41" t="n"/>
      <c r="H4" s="41" t="n"/>
      <c r="I4" s="15" t="inlineStr">
        <is>
          <t>HAPVIDA/SALMINHO</t>
        </is>
      </c>
      <c r="J4" s="42" t="n"/>
      <c r="K4" s="42" t="n"/>
      <c r="L4" s="42">
        <f>IF(J4="","",J4+IF(K4="",0,K4))</f>
        <v/>
      </c>
      <c r="M4" s="43" t="n"/>
      <c r="N4" s="44" t="n"/>
      <c r="O4" s="18" t="inlineStr">
        <is>
          <t>BB</t>
        </is>
      </c>
      <c r="P4" s="45" t="n"/>
      <c r="Q4" s="45" t="n"/>
      <c r="R4" s="45">
        <f>IF(P4="","",P4-IF(Q4="",0,Q4))</f>
        <v/>
      </c>
      <c r="S4" s="45" t="n"/>
      <c r="T4" s="45">
        <f>IF(Q4="","",Q4+IF(S4="",0,S4))</f>
        <v/>
      </c>
      <c r="U4" s="46" t="n"/>
      <c r="V4" s="47" t="n"/>
    </row>
    <row r="5" ht="20" customHeight="1">
      <c r="A5" s="48" t="inlineStr">
        <is>
          <t>Kalena OF/NET</t>
        </is>
      </c>
      <c r="B5" s="49" t="n"/>
      <c r="C5" s="50" t="n"/>
      <c r="D5" s="51" t="n"/>
      <c r="E5" s="52" t="inlineStr">
        <is>
          <t>Caixa Habitação</t>
        </is>
      </c>
      <c r="F5" s="53" t="n"/>
      <c r="G5" s="54" t="n"/>
      <c r="H5" s="54" t="n"/>
      <c r="I5" s="55" t="inlineStr">
        <is>
          <t>HAPVIDA/SABRINA</t>
        </is>
      </c>
      <c r="J5" s="56" t="n"/>
      <c r="K5" s="56" t="n"/>
      <c r="L5" s="56">
        <f>IF(J5="","",J5+IF(K5="",0,K5))</f>
        <v/>
      </c>
      <c r="M5" s="57" t="n"/>
      <c r="N5" s="58" t="n"/>
      <c r="O5" s="59" t="inlineStr">
        <is>
          <t>NU</t>
        </is>
      </c>
      <c r="P5" s="60" t="n"/>
      <c r="Q5" s="60" t="n"/>
      <c r="R5" s="60">
        <f>IF(P5="","",P5-IF(Q5="",0,Q5))</f>
        <v/>
      </c>
      <c r="S5" s="60" t="n"/>
      <c r="T5" s="60">
        <f>IF(Q5="","",Q5+IF(S5="",0,S5))</f>
        <v/>
      </c>
      <c r="U5" s="61" t="n"/>
      <c r="V5" s="62" t="n"/>
    </row>
    <row r="6" ht="20" customHeight="1">
      <c r="A6" s="6" t="inlineStr">
        <is>
          <t>ALUGUÉL</t>
        </is>
      </c>
      <c r="B6" s="37" t="n"/>
      <c r="C6" s="38" t="n"/>
      <c r="D6" s="39" t="n"/>
      <c r="E6" s="9" t="inlineStr">
        <is>
          <t>Consignado BB</t>
        </is>
      </c>
      <c r="F6" s="40" t="n"/>
      <c r="G6" s="41" t="n"/>
      <c r="H6" s="41" t="n"/>
      <c r="I6" s="15" t="inlineStr">
        <is>
          <t>HAP EWE E EFRA</t>
        </is>
      </c>
      <c r="J6" s="42" t="n"/>
      <c r="K6" s="42" t="n"/>
      <c r="L6" s="42">
        <f>IF(J6="","",J6+IF(K6="",0,K6))</f>
        <v/>
      </c>
      <c r="M6" s="43" t="n"/>
      <c r="N6" s="44" t="n"/>
      <c r="O6" s="18" t="inlineStr">
        <is>
          <t>Santander SX</t>
        </is>
      </c>
      <c r="P6" s="45" t="n"/>
      <c r="Q6" s="45" t="n"/>
      <c r="R6" s="45">
        <f>IF(P6="","",P6-IF(Q6="",0,Q6))</f>
        <v/>
      </c>
      <c r="S6" s="45" t="n"/>
      <c r="T6" s="45">
        <f>IF(Q6="","",Q6+IF(S6="",0,S6))</f>
        <v/>
      </c>
      <c r="U6" s="46" t="n"/>
      <c r="V6" s="47" t="n"/>
    </row>
    <row r="7" ht="20" customHeight="1">
      <c r="A7" s="48" t="inlineStr">
        <is>
          <t>Wagner</t>
        </is>
      </c>
      <c r="B7" s="49" t="n"/>
      <c r="C7" s="50" t="n"/>
      <c r="D7" s="51" t="n"/>
      <c r="E7" s="52" t="inlineStr">
        <is>
          <t>Emp.Sal.BB</t>
        </is>
      </c>
      <c r="F7" s="53" t="n"/>
      <c r="G7" s="54" t="n"/>
      <c r="H7" s="54" t="n"/>
      <c r="I7" s="55" t="inlineStr">
        <is>
          <t>CELPA ENERGIA</t>
        </is>
      </c>
      <c r="J7" s="56" t="n"/>
      <c r="K7" s="56" t="n"/>
      <c r="L7" s="56">
        <f>IF(J7="","",J7+IF(K7="",0,K7))</f>
        <v/>
      </c>
      <c r="M7" s="57" t="n"/>
      <c r="N7" s="58" t="n"/>
      <c r="O7" s="59" t="inlineStr">
        <is>
          <t>SELITE</t>
        </is>
      </c>
      <c r="P7" s="60" t="n"/>
      <c r="Q7" s="60" t="n"/>
      <c r="R7" s="60">
        <f>IF(P7="","",P7-IF(Q7="",0,Q7))</f>
        <v/>
      </c>
      <c r="S7" s="60" t="n"/>
      <c r="T7" s="60">
        <f>IF(Q7="","",Q7+IF(S7="",0,S7))</f>
        <v/>
      </c>
      <c r="U7" s="61" t="n"/>
      <c r="V7" s="62" t="n"/>
    </row>
    <row r="8" ht="20" customHeight="1">
      <c r="A8" s="6" t="inlineStr">
        <is>
          <t>Neto</t>
        </is>
      </c>
      <c r="B8" s="37" t="n"/>
      <c r="C8" s="38" t="n"/>
      <c r="D8" s="39" t="n"/>
      <c r="E8" s="9" t="inlineStr">
        <is>
          <t>AUX.TRANSP</t>
        </is>
      </c>
      <c r="F8" s="40" t="n"/>
      <c r="G8" s="41" t="n"/>
      <c r="H8" s="41" t="n"/>
      <c r="I8" s="15" t="inlineStr">
        <is>
          <t>SEATELECOM</t>
        </is>
      </c>
      <c r="J8" s="42" t="n"/>
      <c r="K8" s="42" t="n"/>
      <c r="L8" s="42">
        <f>IF(J8="","",J8+IF(K8="",0,K8))</f>
        <v/>
      </c>
      <c r="M8" s="43" t="n"/>
      <c r="N8" s="44" t="n"/>
      <c r="O8" s="18" t="inlineStr">
        <is>
          <t>Caixa Gold</t>
        </is>
      </c>
      <c r="P8" s="45" t="n"/>
      <c r="Q8" s="45" t="n"/>
      <c r="R8" s="45">
        <f>IF(P8="","",P8-IF(Q8="",0,Q8))</f>
        <v/>
      </c>
      <c r="S8" s="45" t="n"/>
      <c r="T8" s="45">
        <f>IF(Q8="","",Q8+IF(S8="",0,S8))</f>
        <v/>
      </c>
      <c r="U8" s="46" t="n"/>
      <c r="V8" s="47" t="n"/>
    </row>
    <row r="9" ht="20" customHeight="1">
      <c r="A9" s="48" t="inlineStr">
        <is>
          <t>UAB</t>
        </is>
      </c>
      <c r="B9" s="49" t="n"/>
      <c r="C9" s="50" t="n"/>
      <c r="D9" s="51" t="n"/>
      <c r="E9" s="52" t="inlineStr">
        <is>
          <t>CONTRI.SOCIAL</t>
        </is>
      </c>
      <c r="F9" s="53" t="n"/>
      <c r="G9" s="54" t="n"/>
      <c r="H9" s="54" t="n"/>
      <c r="I9" s="55" t="inlineStr">
        <is>
          <t>TX.ÁLAMO</t>
        </is>
      </c>
      <c r="J9" s="56" t="n"/>
      <c r="K9" s="56" t="n"/>
      <c r="L9" s="56">
        <f>IF(J9="","",J9+IF(K9="",0,K9))</f>
        <v/>
      </c>
      <c r="M9" s="57" t="n"/>
      <c r="N9" s="58" t="n"/>
      <c r="O9" s="59" t="inlineStr">
        <is>
          <t>Cartão MP</t>
        </is>
      </c>
      <c r="P9" s="60" t="n"/>
      <c r="Q9" s="60" t="n"/>
      <c r="R9" s="60">
        <f>IF(P9="","",P9-IF(Q9="",0,Q9))</f>
        <v/>
      </c>
      <c r="S9" s="60" t="n"/>
      <c r="T9" s="60">
        <f>IF(Q9="","",Q9+IF(S9="",0,S9))</f>
        <v/>
      </c>
      <c r="U9" s="61" t="n"/>
      <c r="V9" s="62" t="n"/>
    </row>
    <row r="10" ht="20" customHeight="1">
      <c r="A10" s="6" t="inlineStr"/>
      <c r="B10" s="37" t="n"/>
      <c r="C10" s="38" t="n"/>
      <c r="D10" s="39" t="n"/>
      <c r="E10" s="9" t="inlineStr">
        <is>
          <t>IRRF</t>
        </is>
      </c>
      <c r="F10" s="40" t="n"/>
      <c r="G10" s="41" t="n"/>
      <c r="H10" s="41" t="n"/>
      <c r="I10" s="15" t="inlineStr">
        <is>
          <t>CONTA TIM</t>
        </is>
      </c>
      <c r="J10" s="42" t="n"/>
      <c r="K10" s="42" t="n"/>
      <c r="L10" s="42">
        <f>IF(J10="","",J10+IF(K10="",0,K10))</f>
        <v/>
      </c>
      <c r="M10" s="43" t="n"/>
      <c r="N10" s="44" t="n"/>
      <c r="O10" s="18" t="inlineStr">
        <is>
          <t>PicPay Card</t>
        </is>
      </c>
      <c r="P10" s="45" t="n"/>
      <c r="Q10" s="45" t="n"/>
      <c r="R10" s="45">
        <f>IF(P10="","",P10-IF(Q10="",0,Q10))</f>
        <v/>
      </c>
      <c r="S10" s="45" t="n"/>
      <c r="T10" s="45">
        <f>IF(Q10="","",Q10+IF(S10="",0,S10))</f>
        <v/>
      </c>
      <c r="U10" s="46" t="n"/>
      <c r="V10" s="47" t="n"/>
    </row>
    <row r="11" ht="20" customHeight="1">
      <c r="A11" s="48" t="inlineStr"/>
      <c r="B11" s="49" t="n"/>
      <c r="C11" s="50" t="n"/>
      <c r="D11" s="51" t="n"/>
      <c r="E11" s="52" t="inlineStr">
        <is>
          <t>AUX.PRÉ.ESC</t>
        </is>
      </c>
      <c r="F11" s="53" t="n"/>
      <c r="G11" s="54" t="n"/>
      <c r="H11" s="54" t="n"/>
      <c r="I11" s="55" t="inlineStr">
        <is>
          <t>CONTA CLARO</t>
        </is>
      </c>
      <c r="J11" s="56" t="n"/>
      <c r="K11" s="56" t="n"/>
      <c r="L11" s="56">
        <f>IF(J11="","",J11+IF(K11="",0,K11))</f>
        <v/>
      </c>
      <c r="M11" s="57" t="n"/>
      <c r="N11" s="58" t="n"/>
      <c r="O11" s="59" t="inlineStr">
        <is>
          <t>Itaú Card</t>
        </is>
      </c>
      <c r="P11" s="60" t="n"/>
      <c r="Q11" s="60" t="n"/>
      <c r="R11" s="60">
        <f>IF(P11="","",P11-IF(Q11="",0,Q11))</f>
        <v/>
      </c>
      <c r="S11" s="60" t="n"/>
      <c r="T11" s="60">
        <f>IF(Q11="","",Q11+IF(S11="",0,S11))</f>
        <v/>
      </c>
      <c r="U11" s="61" t="n"/>
      <c r="V11" s="62" t="n"/>
    </row>
    <row r="12" ht="20" customHeight="1">
      <c r="A12" s="6" t="inlineStr"/>
      <c r="B12" s="37" t="n"/>
      <c r="C12" s="38" t="n"/>
      <c r="D12" s="39" t="n"/>
      <c r="E12" s="9" t="inlineStr">
        <is>
          <t>Dízimo</t>
        </is>
      </c>
      <c r="F12" s="40" t="n"/>
      <c r="G12" s="41" t="n"/>
      <c r="H12" s="41" t="n"/>
      <c r="I12" s="15" t="inlineStr">
        <is>
          <t>MAXÍDOMINI</t>
        </is>
      </c>
      <c r="J12" s="42" t="n"/>
      <c r="K12" s="42" t="n"/>
      <c r="L12" s="42">
        <f>IF(J12="","",J12+IF(K12="",0,K12))</f>
        <v/>
      </c>
      <c r="M12" s="43" t="n"/>
      <c r="N12" s="44" t="n"/>
      <c r="O12" s="18" t="inlineStr">
        <is>
          <t>CAIXA ELO</t>
        </is>
      </c>
      <c r="P12" s="45" t="n"/>
      <c r="Q12" s="45" t="n"/>
      <c r="R12" s="45">
        <f>IF(P12="","",P12-IF(Q12="",0,Q12))</f>
        <v/>
      </c>
      <c r="S12" s="45" t="n"/>
      <c r="T12" s="45">
        <f>IF(Q12="","",Q12+IF(S12="",0,S12))</f>
        <v/>
      </c>
      <c r="U12" s="46" t="n"/>
      <c r="V12" s="47" t="n"/>
    </row>
    <row r="13" ht="20" customHeight="1">
      <c r="A13" s="48" t="inlineStr"/>
      <c r="B13" s="49" t="n"/>
      <c r="C13" s="50" t="n"/>
      <c r="D13" s="51" t="n"/>
      <c r="E13" s="52" t="inlineStr"/>
      <c r="F13" s="53" t="n"/>
      <c r="G13" s="54" t="n"/>
      <c r="H13" s="54" t="n"/>
      <c r="I13" s="55" t="inlineStr">
        <is>
          <t>COSANPA/ÁGUA</t>
        </is>
      </c>
      <c r="J13" s="56" t="n"/>
      <c r="K13" s="56" t="n"/>
      <c r="L13" s="56">
        <f>IF(J13="","",J13+IF(K13="",0,K13))</f>
        <v/>
      </c>
      <c r="M13" s="57" t="n"/>
      <c r="N13" s="58" t="n"/>
      <c r="O13" s="59" t="inlineStr">
        <is>
          <t>Bradesco</t>
        </is>
      </c>
      <c r="P13" s="60" t="n"/>
      <c r="Q13" s="60" t="n"/>
      <c r="R13" s="60">
        <f>IF(P13="","",P13-IF(Q13="",0,Q13))</f>
        <v/>
      </c>
      <c r="S13" s="60" t="n"/>
      <c r="T13" s="60">
        <f>IF(Q13="","",Q13+IF(S13="",0,S13))</f>
        <v/>
      </c>
      <c r="U13" s="61" t="n"/>
      <c r="V13" s="62" t="n"/>
    </row>
    <row r="14" ht="20" customHeight="1">
      <c r="A14" s="6" t="inlineStr"/>
      <c r="B14" s="37" t="n"/>
      <c r="C14" s="38" t="n"/>
      <c r="D14" s="39" t="n"/>
      <c r="E14" s="9" t="inlineStr"/>
      <c r="F14" s="40" t="n"/>
      <c r="G14" s="41" t="n"/>
      <c r="H14" s="41" t="n"/>
      <c r="I14" s="15" t="inlineStr">
        <is>
          <t>ESCOLA SALMOM</t>
        </is>
      </c>
      <c r="J14" s="42" t="n"/>
      <c r="K14" s="42" t="n"/>
      <c r="L14" s="42">
        <f>IF(J14="","",J14+IF(K14="",0,K14))</f>
        <v/>
      </c>
      <c r="M14" s="43" t="n"/>
      <c r="N14" s="44" t="n"/>
      <c r="O14" s="18" t="inlineStr">
        <is>
          <t>RecargaPay</t>
        </is>
      </c>
      <c r="P14" s="45" t="n"/>
      <c r="Q14" s="45" t="n"/>
      <c r="R14" s="45">
        <f>IF(P14="","",P14-IF(Q14="",0,Q14))</f>
        <v/>
      </c>
      <c r="S14" s="45" t="n"/>
      <c r="T14" s="45">
        <f>IF(Q14="","",Q14+IF(S14="",0,S14))</f>
        <v/>
      </c>
      <c r="U14" s="46" t="n"/>
      <c r="V14" s="47" t="n"/>
    </row>
    <row r="15" ht="20" customHeight="1">
      <c r="A15" s="48" t="inlineStr"/>
      <c r="B15" s="49" t="n"/>
      <c r="C15" s="50" t="n"/>
      <c r="D15" s="51" t="n"/>
      <c r="E15" s="52" t="inlineStr"/>
      <c r="F15" s="53" t="n"/>
      <c r="G15" s="54" t="n"/>
      <c r="H15" s="54" t="n"/>
      <c r="I15" s="55" t="inlineStr">
        <is>
          <t>CORECON</t>
        </is>
      </c>
      <c r="J15" s="56" t="n"/>
      <c r="K15" s="56" t="n"/>
      <c r="L15" s="56">
        <f>IF(J15="","",J15+IF(K15="",0,K15))</f>
        <v/>
      </c>
      <c r="M15" s="57" t="n"/>
      <c r="N15" s="58" t="n"/>
      <c r="O15" s="59" t="inlineStr">
        <is>
          <t>BipaCard</t>
        </is>
      </c>
      <c r="P15" s="60" t="n"/>
      <c r="Q15" s="60" t="n"/>
      <c r="R15" s="60">
        <f>IF(P15="","",P15-IF(Q15="",0,Q15))</f>
        <v/>
      </c>
      <c r="S15" s="60" t="n"/>
      <c r="T15" s="60">
        <f>IF(Q15="","",Q15+IF(S15="",0,S15))</f>
        <v/>
      </c>
      <c r="U15" s="61" t="n"/>
      <c r="V15" s="62" t="n"/>
    </row>
    <row r="16" ht="20" customHeight="1">
      <c r="A16" s="6" t="inlineStr"/>
      <c r="B16" s="37" t="n"/>
      <c r="C16" s="38" t="n"/>
      <c r="D16" s="39" t="n"/>
      <c r="E16" s="9" t="inlineStr"/>
      <c r="F16" s="40" t="n"/>
      <c r="G16" s="41" t="n"/>
      <c r="H16" s="41" t="n"/>
      <c r="I16" s="15" t="inlineStr">
        <is>
          <t>Boticário</t>
        </is>
      </c>
      <c r="J16" s="42" t="n"/>
      <c r="K16" s="42" t="n"/>
      <c r="L16" s="42">
        <f>IF(J16="","",J16+IF(K16="",0,K16))</f>
        <v/>
      </c>
      <c r="M16" s="43" t="n"/>
      <c r="N16" s="44" t="n"/>
      <c r="O16" s="18" t="inlineStr">
        <is>
          <t>InfinitCard</t>
        </is>
      </c>
      <c r="P16" s="45" t="n"/>
      <c r="Q16" s="45" t="n"/>
      <c r="R16" s="45">
        <f>IF(P16="","",P16-IF(Q16="",0,Q16))</f>
        <v/>
      </c>
      <c r="S16" s="45" t="n"/>
      <c r="T16" s="45">
        <f>IF(Q16="","",Q16+IF(S16="",0,S16))</f>
        <v/>
      </c>
      <c r="U16" s="46" t="n"/>
      <c r="V16" s="47" t="n"/>
    </row>
    <row r="17" ht="20" customHeight="1">
      <c r="A17" s="48" t="inlineStr"/>
      <c r="B17" s="49" t="n"/>
      <c r="C17" s="50" t="n"/>
      <c r="D17" s="51" t="n"/>
      <c r="E17" s="52" t="inlineStr"/>
      <c r="F17" s="53" t="n"/>
      <c r="G17" s="54" t="n"/>
      <c r="H17" s="54" t="n"/>
      <c r="I17" s="55" t="inlineStr">
        <is>
          <t>Rodobens</t>
        </is>
      </c>
      <c r="J17" s="56" t="n"/>
      <c r="K17" s="56" t="n"/>
      <c r="L17" s="56">
        <f>IF(J17="","",J17+IF(K17="",0,K17))</f>
        <v/>
      </c>
      <c r="M17" s="57" t="n"/>
      <c r="N17" s="58" t="n"/>
      <c r="O17" s="59" t="inlineStr">
        <is>
          <t>Pagbank</t>
        </is>
      </c>
      <c r="P17" s="60" t="n"/>
      <c r="Q17" s="60" t="n"/>
      <c r="R17" s="60">
        <f>IF(P17="","",P17-IF(Q17="",0,Q17))</f>
        <v/>
      </c>
      <c r="S17" s="60" t="n"/>
      <c r="T17" s="60">
        <f>IF(Q17="","",Q17+IF(S17="",0,S17))</f>
        <v/>
      </c>
      <c r="U17" s="61" t="n"/>
      <c r="V17" s="62" t="n"/>
    </row>
    <row r="18" ht="20" customHeight="1">
      <c r="A18" s="6" t="inlineStr"/>
      <c r="B18" s="37" t="n"/>
      <c r="C18" s="38" t="n"/>
      <c r="D18" s="39" t="n"/>
      <c r="E18" s="9" t="inlineStr"/>
      <c r="F18" s="40" t="n"/>
      <c r="G18" s="41" t="n"/>
      <c r="H18" s="41" t="n"/>
      <c r="I18" s="15" t="inlineStr"/>
      <c r="J18" s="42" t="n"/>
      <c r="K18" s="42" t="n"/>
      <c r="L18" s="42">
        <f>IF(J18="","",J18+IF(K18="",0,K18))</f>
        <v/>
      </c>
      <c r="M18" s="43" t="n"/>
      <c r="N18" s="44" t="n"/>
      <c r="O18" s="18" t="inlineStr">
        <is>
          <t>TonCard</t>
        </is>
      </c>
      <c r="P18" s="45" t="n"/>
      <c r="Q18" s="45" t="n"/>
      <c r="R18" s="45">
        <f>IF(P18="","",P18-IF(Q18="",0,Q18))</f>
        <v/>
      </c>
      <c r="S18" s="45" t="n"/>
      <c r="T18" s="45">
        <f>IF(Q18="","",Q18+IF(S18="",0,S18))</f>
        <v/>
      </c>
      <c r="U18" s="46" t="n"/>
      <c r="V18" s="47" t="n"/>
    </row>
    <row r="19" ht="20" customHeight="1">
      <c r="A19" s="48" t="inlineStr"/>
      <c r="B19" s="49" t="n"/>
      <c r="C19" s="50" t="n"/>
      <c r="D19" s="51" t="n"/>
      <c r="E19" s="52" t="inlineStr"/>
      <c r="F19" s="53" t="n"/>
      <c r="G19" s="54" t="n"/>
      <c r="H19" s="54" t="n"/>
      <c r="I19" s="55" t="inlineStr"/>
      <c r="J19" s="56" t="n"/>
      <c r="K19" s="56" t="n"/>
      <c r="L19" s="56">
        <f>IF(J19="","",J19+IF(K19="",0,K19))</f>
        <v/>
      </c>
      <c r="M19" s="57" t="n"/>
      <c r="N19" s="58" t="n"/>
      <c r="O19" s="59" t="inlineStr"/>
      <c r="P19" s="60" t="n"/>
      <c r="Q19" s="60" t="n"/>
      <c r="R19" s="60">
        <f>IF(P19="","",P19-IF(Q19="",0,Q19))</f>
        <v/>
      </c>
      <c r="S19" s="60" t="n"/>
      <c r="T19" s="60">
        <f>IF(Q19="","",Q19+IF(S19="",0,S19))</f>
        <v/>
      </c>
      <c r="U19" s="61" t="n"/>
      <c r="V19" s="62" t="n"/>
    </row>
    <row r="20" ht="22" customHeight="1">
      <c r="A20" s="63" t="inlineStr">
        <is>
          <t>RECEITA TOTAL</t>
        </is>
      </c>
      <c r="B20" s="8">
        <f>SUM(B4:B19)</f>
        <v/>
      </c>
      <c r="C20" s="64" t="n"/>
      <c r="D20" s="64" t="n"/>
      <c r="E20" s="65" t="inlineStr">
        <is>
          <t>TOTAL DESCONTOS</t>
        </is>
      </c>
      <c r="F20" s="11">
        <f>SUM(F4:F19)</f>
        <v/>
      </c>
      <c r="G20" s="66" t="n"/>
      <c r="H20" s="66" t="n"/>
      <c r="I20" s="67" t="inlineStr">
        <is>
          <t>TOTAL FIXAS (CET)</t>
        </is>
      </c>
      <c r="J20" s="21">
        <f>SUM(J4:J19)</f>
        <v/>
      </c>
      <c r="K20" s="21">
        <f>SUM(K4:K19)</f>
        <v/>
      </c>
      <c r="L20" s="21">
        <f>SUM(L4:L19)</f>
        <v/>
      </c>
      <c r="M20" s="68" t="n"/>
      <c r="N20" s="68" t="n"/>
      <c r="O20" s="69" t="inlineStr">
        <is>
          <t>TOTAL CARTÕES</t>
        </is>
      </c>
      <c r="P20" s="70">
        <f>SUM(P4:P19)</f>
        <v/>
      </c>
      <c r="Q20" s="70">
        <f>SUM(Q4:Q19)</f>
        <v/>
      </c>
      <c r="R20" s="70">
        <f>SUM(R4:R19)</f>
        <v/>
      </c>
      <c r="S20" s="70">
        <f>SUM(S4:S19)</f>
        <v/>
      </c>
      <c r="T20" s="70">
        <f>SUM(T4:T19)</f>
        <v/>
      </c>
      <c r="U20" s="71" t="n"/>
      <c r="V20" s="71" t="n"/>
    </row>
    <row r="21">
      <c r="O21" s="72" t="inlineStr">
        <is>
          <t>¹ SALDO = Fatura − Pago  (valor não quitado = nova dívida do mês)</t>
        </is>
      </c>
    </row>
    <row r="22" ht="22" customHeight="1">
      <c r="A22" s="73" t="inlineStr">
        <is>
          <t>ASSINATURAS ONLINE</t>
        </is>
      </c>
      <c r="F22" s="73" t="inlineStr">
        <is>
          <t>NOTAS / EMPRÉSTIMOS / CONSIGNADOS</t>
        </is>
      </c>
    </row>
    <row r="23" ht="20" customHeight="1">
      <c r="A23" s="74" t="inlineStr">
        <is>
          <t>CARTÃO</t>
        </is>
      </c>
      <c r="B23" s="74" t="inlineStr">
        <is>
          <t>SERVIÇO</t>
        </is>
      </c>
      <c r="C23" s="74" t="inlineStr">
        <is>
          <t>VALOR</t>
        </is>
      </c>
      <c r="D23" s="74" t="inlineStr">
        <is>
          <t>DIA/SITUAÇÃO</t>
        </is>
      </c>
      <c r="F23" s="74" t="inlineStr">
        <is>
          <t>DESCRIÇÃO</t>
        </is>
      </c>
      <c r="G23" s="74" t="inlineStr">
        <is>
          <t>TAXA (am)</t>
        </is>
      </c>
      <c r="H23" s="74" t="inlineStr">
        <is>
          <t>TAXA (aa)</t>
        </is>
      </c>
      <c r="I23" s="74" t="inlineStr">
        <is>
          <t>OBS / SALDO</t>
        </is>
      </c>
    </row>
    <row r="24" ht="18" customHeight="1">
      <c r="A24" s="75" t="inlineStr">
        <is>
          <t>NU</t>
        </is>
      </c>
      <c r="B24" s="22" t="inlineStr">
        <is>
          <t>GDRIVE SABRI</t>
        </is>
      </c>
      <c r="C24" s="23" t="n">
        <v>49.9</v>
      </c>
      <c r="D24" s="22" t="inlineStr">
        <is>
          <t>DIA 04 — CRÉDITO (NU)</t>
        </is>
      </c>
      <c r="F24" s="22" t="inlineStr">
        <is>
          <t>Consignado Nubank 1</t>
        </is>
      </c>
      <c r="G24" s="75" t="inlineStr">
        <is>
          <t>1.30% am</t>
        </is>
      </c>
      <c r="H24" s="75" t="inlineStr">
        <is>
          <t>16.74% aa</t>
        </is>
      </c>
      <c r="I24" s="22" t="inlineStr">
        <is>
          <t>73x</t>
        </is>
      </c>
    </row>
    <row r="25" ht="18" customHeight="1">
      <c r="A25" s="76" t="inlineStr">
        <is>
          <t>NU</t>
        </is>
      </c>
      <c r="B25" s="77" t="inlineStr">
        <is>
          <t>CONTA TIM</t>
        </is>
      </c>
      <c r="C25" s="78" t="n">
        <v>42</v>
      </c>
      <c r="D25" s="77" t="inlineStr">
        <is>
          <t>DIA 15 — PG MANUAL</t>
        </is>
      </c>
      <c r="F25" s="77" t="inlineStr">
        <is>
          <t>Consignado Nubank 2</t>
        </is>
      </c>
      <c r="G25" s="76" t="inlineStr">
        <is>
          <t>1.57% am</t>
        </is>
      </c>
      <c r="H25" s="76" t="inlineStr">
        <is>
          <t>21.85% aa</t>
        </is>
      </c>
      <c r="I25" s="77" t="inlineStr">
        <is>
          <t>96x — saldo R$776,82</t>
        </is>
      </c>
    </row>
    <row r="26" ht="18" customHeight="1">
      <c r="A26" s="75" t="inlineStr">
        <is>
          <t>SANTANDER SX</t>
        </is>
      </c>
      <c r="B26" s="22" t="inlineStr">
        <is>
          <t>PLANO CLARO</t>
        </is>
      </c>
      <c r="C26" s="23" t="n">
        <v>73.73</v>
      </c>
      <c r="D26" s="22" t="inlineStr">
        <is>
          <t>DIA 09 — PG MANUAL</t>
        </is>
      </c>
      <c r="F26" s="22" t="inlineStr">
        <is>
          <t>Fin. Habitação CAIXA</t>
        </is>
      </c>
      <c r="G26" s="75" t="inlineStr">
        <is>
          <t>7% nominal</t>
        </is>
      </c>
      <c r="H26" s="75" t="inlineStr"/>
      <c r="I26" s="22" t="inlineStr"/>
    </row>
    <row r="27" ht="18" customHeight="1">
      <c r="A27" s="76" t="inlineStr">
        <is>
          <t>NU</t>
        </is>
      </c>
      <c r="B27" s="77" t="inlineStr">
        <is>
          <t>YOUTUBE ST</t>
        </is>
      </c>
      <c r="C27" s="78" t="n">
        <v>53.9</v>
      </c>
      <c r="D27" s="77" t="inlineStr">
        <is>
          <t>DIA 25 — CRÉDITO (NU)</t>
        </is>
      </c>
      <c r="F27" s="77" t="inlineStr">
        <is>
          <t>Empréstimo Sabrina</t>
        </is>
      </c>
      <c r="G27" s="76" t="inlineStr"/>
      <c r="H27" s="76" t="inlineStr"/>
      <c r="I27" s="77" t="inlineStr">
        <is>
          <t>saldo R$2.503,46</t>
        </is>
      </c>
    </row>
    <row r="28" ht="18" customHeight="1">
      <c r="A28" s="75" t="inlineStr">
        <is>
          <t>NU</t>
        </is>
      </c>
      <c r="B28" s="22" t="inlineStr">
        <is>
          <t>ICLOUD</t>
        </is>
      </c>
      <c r="C28" s="23" t="n">
        <v>5.9</v>
      </c>
      <c r="D28" s="22" t="inlineStr">
        <is>
          <t>DIA 01 — CRÉDITO (NU)</t>
        </is>
      </c>
      <c r="F28" s="22" t="inlineStr">
        <is>
          <t>Empréstimo Josy</t>
        </is>
      </c>
      <c r="G28" s="75" t="inlineStr"/>
      <c r="H28" s="75" t="inlineStr"/>
      <c r="I28" s="22" t="inlineStr"/>
    </row>
    <row r="29" ht="18" customHeight="1">
      <c r="A29" s="76" t="inlineStr"/>
      <c r="B29" s="77" t="inlineStr">
        <is>
          <t>Serasa</t>
        </is>
      </c>
      <c r="C29" s="78" t="n">
        <v>23.9</v>
      </c>
      <c r="D29" s="77" t="inlineStr">
        <is>
          <t xml:space="preserve">DIA 17 — </t>
        </is>
      </c>
      <c r="F29" s="77" t="inlineStr"/>
      <c r="G29" s="76" t="inlineStr"/>
      <c r="H29" s="76" t="inlineStr"/>
      <c r="I29" s="77" t="inlineStr"/>
    </row>
    <row r="30" ht="18" customHeight="1">
      <c r="A30" s="75" t="inlineStr"/>
      <c r="B30" s="22" t="inlineStr">
        <is>
          <t>Kindle</t>
        </is>
      </c>
      <c r="C30" s="23" t="n">
        <v>24</v>
      </c>
      <c r="D30" s="22" t="inlineStr"/>
      <c r="F30" s="22" t="inlineStr"/>
      <c r="G30" s="75" t="inlineStr"/>
      <c r="H30" s="75" t="inlineStr"/>
      <c r="I30" s="22" t="inlineStr"/>
    </row>
    <row r="31" ht="18" customHeight="1">
      <c r="A31" s="76" t="inlineStr">
        <is>
          <t>NU</t>
        </is>
      </c>
      <c r="B31" s="77" t="inlineStr">
        <is>
          <t>GPT</t>
        </is>
      </c>
      <c r="C31" s="78" t="n">
        <v>130</v>
      </c>
      <c r="D31" s="77" t="inlineStr">
        <is>
          <t>DIA 02 — CRÉDITO (NU)</t>
        </is>
      </c>
    </row>
    <row r="32" ht="18" customHeight="1">
      <c r="A32" s="75" t="inlineStr">
        <is>
          <t>NU</t>
        </is>
      </c>
      <c r="B32" s="22" t="inlineStr">
        <is>
          <t>Copilot</t>
        </is>
      </c>
      <c r="C32" s="23" t="n">
        <v>109.9</v>
      </c>
      <c r="D32" s="22" t="inlineStr">
        <is>
          <t>DIA 04 — CRÉDITO (NU)</t>
        </is>
      </c>
    </row>
    <row r="33" ht="18" customHeight="1">
      <c r="A33" s="76" t="inlineStr">
        <is>
          <t>NU</t>
        </is>
      </c>
      <c r="B33" s="77" t="inlineStr">
        <is>
          <t>WORD</t>
        </is>
      </c>
      <c r="C33" s="78" t="n">
        <v>0</v>
      </c>
      <c r="D33" s="77" t="inlineStr">
        <is>
          <t>Anual — CRÉDITO (NU)</t>
        </is>
      </c>
    </row>
    <row r="34" ht="18" customHeight="1">
      <c r="A34" s="75" t="inlineStr">
        <is>
          <t>NU</t>
        </is>
      </c>
      <c r="B34" s="22" t="inlineStr">
        <is>
          <t>GDRIVE EWE</t>
        </is>
      </c>
      <c r="C34" s="23" t="n">
        <v>0</v>
      </c>
      <c r="D34" s="22" t="inlineStr">
        <is>
          <t>Ago/26 — CRÉDITO (NU)</t>
        </is>
      </c>
    </row>
    <row r="35" ht="18" customHeight="1">
      <c r="A35" s="76" t="inlineStr"/>
      <c r="B35" s="77" t="inlineStr">
        <is>
          <t>PDFVIEW</t>
        </is>
      </c>
      <c r="C35" s="78" t="n">
        <v>0</v>
      </c>
      <c r="D35" s="77" t="inlineStr">
        <is>
          <t>CRÉDITO (NU)</t>
        </is>
      </c>
    </row>
    <row r="36" ht="20" customHeight="1">
      <c r="A36" s="79" t="inlineStr">
        <is>
          <t>TOTAL ASSINATURAS</t>
        </is>
      </c>
      <c r="C36" s="24">
        <f>SUM(C24:C35)</f>
        <v/>
      </c>
      <c r="D36" s="3" t="n"/>
    </row>
    <row r="38" ht="22" customHeight="1">
      <c r="A38" s="80" t="inlineStr">
        <is>
          <t>CHEQUE ESPECIAL / DÍVIDAS FINANCEIRAS</t>
        </is>
      </c>
    </row>
    <row r="39" ht="22" customHeight="1">
      <c r="A39" s="35" t="inlineStr">
        <is>
          <t>BANCO</t>
        </is>
      </c>
      <c r="B39" s="35" t="inlineStr">
        <is>
          <t>LIMITE</t>
        </is>
      </c>
      <c r="C39" s="35" t="inlineStr">
        <is>
          <t>USADO</t>
        </is>
      </c>
      <c r="D39" s="35" t="inlineStr">
        <is>
          <t>JUROS MÊS</t>
        </is>
      </c>
      <c r="E39" s="35" t="inlineStr">
        <is>
          <t>TAXA % aa</t>
        </is>
      </c>
      <c r="F39" s="35" t="inlineStr">
        <is>
          <t>DIAS</t>
        </is>
      </c>
      <c r="G39" s="35" t="inlineStr">
        <is>
          <t>SITUAÇÃO</t>
        </is>
      </c>
    </row>
    <row r="40" ht="19" customHeight="1">
      <c r="A40" s="15" t="inlineStr">
        <is>
          <t>BB</t>
        </is>
      </c>
      <c r="B40" s="16" t="n"/>
      <c r="C40" s="16" t="n"/>
      <c r="D40" s="16" t="n"/>
      <c r="E40" s="81" t="n"/>
      <c r="F40" s="81" t="n"/>
      <c r="G40" s="81" t="n"/>
    </row>
    <row r="41" ht="19" customHeight="1">
      <c r="A41" s="55" t="inlineStr">
        <is>
          <t>Santander</t>
        </is>
      </c>
      <c r="B41" s="82" t="n"/>
      <c r="C41" s="82" t="n"/>
      <c r="D41" s="82" t="n"/>
      <c r="E41" s="83" t="n"/>
      <c r="F41" s="83" t="n"/>
      <c r="G41" s="83" t="n"/>
    </row>
    <row r="42" ht="19" customHeight="1">
      <c r="A42" s="15" t="inlineStr">
        <is>
          <t>Caixa</t>
        </is>
      </c>
      <c r="B42" s="16" t="n"/>
      <c r="C42" s="16" t="n"/>
      <c r="D42" s="16" t="n"/>
      <c r="E42" s="81" t="n"/>
      <c r="F42" s="81" t="n"/>
      <c r="G42" s="81" t="n"/>
    </row>
    <row r="43" ht="19" customHeight="1">
      <c r="A43" s="55" t="inlineStr">
        <is>
          <t>Itaú</t>
        </is>
      </c>
      <c r="B43" s="82" t="n"/>
      <c r="C43" s="82" t="n"/>
      <c r="D43" s="82" t="n"/>
      <c r="E43" s="83" t="n"/>
      <c r="F43" s="83" t="n"/>
      <c r="G43" s="83" t="n"/>
    </row>
    <row r="44" ht="19" customHeight="1">
      <c r="A44" s="15" t="inlineStr">
        <is>
          <t>Bradesco</t>
        </is>
      </c>
      <c r="B44" s="16" t="n"/>
      <c r="C44" s="16" t="n"/>
      <c r="D44" s="16" t="n"/>
      <c r="E44" s="81" t="n"/>
      <c r="F44" s="81" t="n"/>
      <c r="G44" s="81" t="n"/>
    </row>
    <row r="45" ht="20" customHeight="1">
      <c r="A45" s="67" t="inlineStr">
        <is>
          <t>TOTAL CHEQUE ESPECIAL</t>
        </is>
      </c>
      <c r="C45" s="21">
        <f>SUM(C40:C44)</f>
        <v/>
      </c>
      <c r="D45" s="21">
        <f>SUM(D40:D44)</f>
        <v/>
      </c>
      <c r="E45" s="84" t="n"/>
      <c r="F45" s="84" t="n"/>
      <c r="G45" s="84" t="n"/>
    </row>
    <row r="47" ht="28" customHeight="1">
      <c r="A47" s="28" t="inlineStr">
        <is>
          <t xml:space="preserve">  ══  RESULTADO DO MÊS  ══</t>
        </is>
      </c>
    </row>
    <row r="48" ht="19" customHeight="1">
      <c r="A48" s="6" t="inlineStr">
        <is>
          <t>Receita Bruta</t>
        </is>
      </c>
      <c r="F48" s="7">
        <f>B20</f>
        <v/>
      </c>
    </row>
    <row r="49" ht="19" customHeight="1">
      <c r="A49" s="9" t="inlineStr">
        <is>
          <t>(−) Descontos em Folha</t>
        </is>
      </c>
      <c r="F49" s="10">
        <f>F20</f>
        <v/>
      </c>
    </row>
    <row r="50" ht="24" customHeight="1">
      <c r="A50" s="85">
        <f> Receita Líquida</f>
        <v/>
      </c>
      <c r="F50" s="14">
        <f>F48-F49</f>
        <v/>
      </c>
    </row>
    <row r="51" ht="19" customHeight="1">
      <c r="A51" s="15" t="inlineStr">
        <is>
          <t>(−) Despesas Fixas (CET)</t>
        </is>
      </c>
      <c r="F51" s="16">
        <f>L20</f>
        <v/>
      </c>
    </row>
    <row r="52" ht="19" customHeight="1">
      <c r="A52" s="18" t="inlineStr">
        <is>
          <t>(−) Cartões — Valor Pago</t>
        </is>
      </c>
      <c r="F52" s="19">
        <f>Q20</f>
        <v/>
      </c>
    </row>
    <row r="53" ht="19" customHeight="1">
      <c r="A53" s="18" t="inlineStr">
        <is>
          <t>(−) Juros dos Cartões</t>
        </is>
      </c>
      <c r="F53" s="19">
        <f>S20</f>
        <v/>
      </c>
    </row>
    <row r="54" ht="19" customHeight="1">
      <c r="A54" s="15" t="inlineStr">
        <is>
          <t>(−) Juros Cheque Especial</t>
        </is>
      </c>
      <c r="F54" s="16">
        <f>D45</f>
        <v/>
      </c>
    </row>
    <row r="55" ht="19" customHeight="1">
      <c r="A55" s="22" t="inlineStr">
        <is>
          <t>(−) Assinaturas Online</t>
        </is>
      </c>
      <c r="F55" s="23">
        <f>C36</f>
        <v/>
      </c>
    </row>
    <row r="56" ht="24" customHeight="1">
      <c r="A56" s="86">
        <f> SALDO REAL DO MÊS</f>
        <v/>
      </c>
      <c r="F56" s="27">
        <f>F50-F51-F52-F53-F54-F55</f>
        <v/>
      </c>
    </row>
    <row r="57" ht="19" customHeight="1">
      <c r="A57" s="15" t="inlineStr">
        <is>
          <t>⚠  Nova Dívida (cartões não pagos)</t>
        </is>
      </c>
      <c r="F57" s="16">
        <f>R20</f>
        <v/>
      </c>
    </row>
    <row r="59" ht="22" customHeight="1">
      <c r="A59" s="73" t="inlineStr">
        <is>
          <t>CONTAS E SALDOS</t>
        </is>
      </c>
    </row>
    <row r="60" ht="18" customHeight="1">
      <c r="A60" s="74" t="inlineStr">
        <is>
          <t>BANCO / CARTEIRA</t>
        </is>
      </c>
      <c r="B60" s="74" t="inlineStr">
        <is>
          <t>SALDO (R$)</t>
        </is>
      </c>
      <c r="C60" s="74" t="inlineStr">
        <is>
          <t>OBS</t>
        </is>
      </c>
    </row>
    <row r="61" ht="18" customHeight="1">
      <c r="A61" s="22" t="inlineStr">
        <is>
          <t>Saldo CC BB</t>
        </is>
      </c>
      <c r="B61" s="23" t="n"/>
      <c r="C61" s="87" t="n"/>
    </row>
    <row r="62" ht="18" customHeight="1">
      <c r="A62" s="77" t="inlineStr">
        <is>
          <t>Santander</t>
        </is>
      </c>
      <c r="B62" s="78" t="n"/>
      <c r="C62" s="88" t="n"/>
    </row>
    <row r="63" ht="18" customHeight="1">
      <c r="A63" s="22" t="inlineStr">
        <is>
          <t>Caixa</t>
        </is>
      </c>
      <c r="B63" s="23" t="n"/>
      <c r="C63" s="87" t="n"/>
    </row>
    <row r="64" ht="18" customHeight="1">
      <c r="A64" s="77" t="inlineStr">
        <is>
          <t>Bipa</t>
        </is>
      </c>
      <c r="B64" s="78" t="n"/>
      <c r="C64" s="88" t="n"/>
    </row>
    <row r="65" ht="18" customHeight="1">
      <c r="A65" s="22" t="inlineStr">
        <is>
          <t>Nubank</t>
        </is>
      </c>
      <c r="B65" s="23" t="n"/>
      <c r="C65" s="87" t="n"/>
    </row>
    <row r="66" ht="18" customHeight="1">
      <c r="A66" s="77" t="inlineStr">
        <is>
          <t>Itaú</t>
        </is>
      </c>
      <c r="B66" s="78" t="n"/>
      <c r="C66" s="88" t="n"/>
    </row>
    <row r="67" ht="18" customHeight="1">
      <c r="A67" s="22" t="inlineStr">
        <is>
          <t>MP</t>
        </is>
      </c>
      <c r="B67" s="23" t="n"/>
      <c r="C67" s="87" t="n"/>
    </row>
    <row r="68" ht="18" customHeight="1">
      <c r="A68" s="77" t="inlineStr">
        <is>
          <t>KuCoin</t>
        </is>
      </c>
      <c r="B68" s="78" t="n"/>
      <c r="C68" s="88" t="n"/>
    </row>
    <row r="69" ht="18" customHeight="1">
      <c r="A69" s="22" t="inlineStr">
        <is>
          <t>Ton</t>
        </is>
      </c>
      <c r="B69" s="23" t="n"/>
      <c r="C69" s="87" t="n"/>
    </row>
    <row r="70" ht="18" customHeight="1">
      <c r="A70" s="77" t="inlineStr">
        <is>
          <t>Picpay</t>
        </is>
      </c>
      <c r="B70" s="78" t="n"/>
      <c r="C70" s="88" t="n"/>
    </row>
    <row r="71" ht="18" customHeight="1">
      <c r="A71" s="22" t="inlineStr">
        <is>
          <t>Recargapay</t>
        </is>
      </c>
      <c r="B71" s="23" t="n"/>
      <c r="C71" s="87" t="n"/>
    </row>
    <row r="72" ht="18" customHeight="1">
      <c r="A72" s="77" t="inlineStr">
        <is>
          <t>Infinitepay</t>
        </is>
      </c>
      <c r="B72" s="78" t="n"/>
      <c r="C72" s="88" t="n"/>
    </row>
    <row r="73" ht="18" customHeight="1">
      <c r="A73" s="22" t="inlineStr">
        <is>
          <t>PagBank</t>
        </is>
      </c>
      <c r="B73" s="23" t="n"/>
      <c r="C73" s="87" t="n"/>
    </row>
    <row r="74" ht="18" customHeight="1">
      <c r="A74" s="77" t="inlineStr">
        <is>
          <t>C6 BANK</t>
        </is>
      </c>
      <c r="B74" s="78" t="n"/>
      <c r="C74" s="88" t="n"/>
    </row>
    <row r="75" ht="18" customHeight="1">
      <c r="A75" s="22" t="inlineStr">
        <is>
          <t>INTER</t>
        </is>
      </c>
      <c r="B75" s="23" t="n"/>
      <c r="C75" s="87" t="n"/>
    </row>
    <row r="76" ht="18" customHeight="1">
      <c r="A76" s="77" t="inlineStr">
        <is>
          <t>Bradesco</t>
        </is>
      </c>
      <c r="B76" s="78" t="n"/>
      <c r="C76" s="88" t="n"/>
    </row>
    <row r="77" ht="18" customHeight="1">
      <c r="A77" s="22" t="inlineStr">
        <is>
          <t>BTG</t>
        </is>
      </c>
      <c r="B77" s="23" t="n"/>
      <c r="C77" s="87" t="n"/>
    </row>
    <row r="78" ht="20" customHeight="1">
      <c r="A78" s="79" t="inlineStr">
        <is>
          <t>TOTAL EM CONTAS</t>
        </is>
      </c>
      <c r="B78" s="24">
        <f>SUM(B61:B77)</f>
        <v/>
      </c>
      <c r="C78" s="3" t="n"/>
    </row>
  </sheetData>
  <mergeCells count="23">
    <mergeCell ref="A48:E48"/>
    <mergeCell ref="A22:D22"/>
    <mergeCell ref="A45:B45"/>
    <mergeCell ref="A49:E49"/>
    <mergeCell ref="A51:E51"/>
    <mergeCell ref="A36:B36"/>
    <mergeCell ref="A38:G38"/>
    <mergeCell ref="A47:F47"/>
    <mergeCell ref="A54:E54"/>
    <mergeCell ref="A56:E56"/>
    <mergeCell ref="A55:E55"/>
    <mergeCell ref="A50:E50"/>
    <mergeCell ref="A57:E57"/>
    <mergeCell ref="A1:V1"/>
    <mergeCell ref="O21:V21"/>
    <mergeCell ref="A59:C59"/>
    <mergeCell ref="A53:E53"/>
    <mergeCell ref="I2:N2"/>
    <mergeCell ref="O2:V2"/>
    <mergeCell ref="A52:E52"/>
    <mergeCell ref="A2:D2"/>
    <mergeCell ref="E2:H2"/>
    <mergeCell ref="F22:I2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3" customWidth="1" min="3" max="3"/>
    <col width="12" customWidth="1" min="4" max="4"/>
    <col width="24" customWidth="1" min="5" max="5"/>
    <col width="14" customWidth="1" min="6" max="6"/>
    <col width="13" customWidth="1" min="7" max="7"/>
    <col width="13" customWidth="1" min="8" max="8"/>
    <col width="24" customWidth="1" min="9" max="9"/>
    <col width="12" customWidth="1" min="10" max="10"/>
    <col width="9" customWidth="1" min="11" max="11"/>
    <col width="12" customWidth="1" min="12" max="12"/>
    <col width="13" customWidth="1" min="13" max="13"/>
    <col width="12" customWidth="1" min="14" max="14"/>
    <col width="16" customWidth="1" min="15" max="15"/>
    <col width="14" customWidth="1" min="16" max="16"/>
    <col width="14" customWidth="1" min="17" max="17"/>
    <col width="12" customWidth="1" min="18" max="18"/>
    <col width="9" customWidth="1" min="19" max="19"/>
    <col width="12" customWidth="1" min="20" max="20"/>
    <col width="13" customWidth="1" min="21" max="21"/>
    <col width="16" customWidth="1" min="22" max="22"/>
  </cols>
  <sheetData>
    <row r="1" ht="30" customHeight="1">
      <c r="A1" s="28" t="inlineStr">
        <is>
          <t>ORÇAMENTO  DEZEMBRO  2026</t>
        </is>
      </c>
    </row>
    <row r="2" ht="22" customHeight="1">
      <c r="A2" s="29" t="inlineStr">
        <is>
          <t>▶  FONTES DE RECEITA</t>
        </is>
      </c>
      <c r="E2" s="30" t="inlineStr">
        <is>
          <t>▶  DESCONTOS EM FOLHA</t>
        </is>
      </c>
      <c r="I2" s="31" t="inlineStr">
        <is>
          <t>▶  DESPESAS FIXAS</t>
        </is>
      </c>
      <c r="O2" s="32" t="inlineStr">
        <is>
          <t>▶  DESPESAS COM CARTÕES</t>
        </is>
      </c>
    </row>
    <row r="3" ht="26" customHeight="1">
      <c r="A3" s="33" t="inlineStr">
        <is>
          <t>ORIGEM</t>
        </is>
      </c>
      <c r="B3" s="33" t="inlineStr">
        <is>
          <t>VALOR</t>
        </is>
      </c>
      <c r="C3" s="33" t="inlineStr">
        <is>
          <t>SITUAÇÃO</t>
        </is>
      </c>
      <c r="D3" s="33" t="inlineStr">
        <is>
          <t>DATA PG</t>
        </is>
      </c>
      <c r="E3" s="34" t="inlineStr">
        <is>
          <t>ORIGEM</t>
        </is>
      </c>
      <c r="F3" s="34" t="inlineStr">
        <is>
          <t>VALOR</t>
        </is>
      </c>
      <c r="G3" s="34" t="inlineStr">
        <is>
          <t>INFO</t>
        </is>
      </c>
      <c r="H3" s="34" t="inlineStr">
        <is>
          <t>OBS</t>
        </is>
      </c>
      <c r="I3" s="35" t="inlineStr">
        <is>
          <t>ORIGEM</t>
        </is>
      </c>
      <c r="J3" s="35" t="inlineStr">
        <is>
          <t>VALOR</t>
        </is>
      </c>
      <c r="K3" s="35" t="inlineStr">
        <is>
          <t>JUROS</t>
        </is>
      </c>
      <c r="L3" s="35" t="inlineStr">
        <is>
          <t>CET</t>
        </is>
      </c>
      <c r="M3" s="35" t="inlineStr">
        <is>
          <t>SITUAÇÃO</t>
        </is>
      </c>
      <c r="N3" s="35" t="inlineStr">
        <is>
          <t>DATA PG</t>
        </is>
      </c>
      <c r="O3" s="36" t="inlineStr">
        <is>
          <t>CARTÃO</t>
        </is>
      </c>
      <c r="P3" s="36" t="inlineStr">
        <is>
          <t>FATURA</t>
        </is>
      </c>
      <c r="Q3" s="36" t="inlineStr">
        <is>
          <t>PAGO</t>
        </is>
      </c>
      <c r="R3" s="36" t="inlineStr">
        <is>
          <t>SALDO¹</t>
        </is>
      </c>
      <c r="S3" s="36" t="inlineStr">
        <is>
          <t>JUROS</t>
        </is>
      </c>
      <c r="T3" s="36" t="inlineStr">
        <is>
          <t>CET</t>
        </is>
      </c>
      <c r="U3" s="36" t="inlineStr">
        <is>
          <t>SITUAÇÃO</t>
        </is>
      </c>
      <c r="V3" s="36" t="inlineStr">
        <is>
          <t>DATA PG</t>
        </is>
      </c>
    </row>
    <row r="4" ht="20" customHeight="1">
      <c r="A4" s="6" t="inlineStr">
        <is>
          <t>SALÁRIO</t>
        </is>
      </c>
      <c r="B4" s="37" t="n"/>
      <c r="C4" s="38" t="n"/>
      <c r="D4" s="39" t="n"/>
      <c r="E4" s="9" t="inlineStr">
        <is>
          <t>Consignado V.Nbk</t>
        </is>
      </c>
      <c r="F4" s="40" t="n"/>
      <c r="G4" s="41" t="n"/>
      <c r="H4" s="41" t="n"/>
      <c r="I4" s="15" t="inlineStr">
        <is>
          <t>HAPVIDA/SALMINHO</t>
        </is>
      </c>
      <c r="J4" s="42" t="n"/>
      <c r="K4" s="42" t="n"/>
      <c r="L4" s="42">
        <f>IF(J4="","",J4+IF(K4="",0,K4))</f>
        <v/>
      </c>
      <c r="M4" s="43" t="n"/>
      <c r="N4" s="44" t="n"/>
      <c r="O4" s="18" t="inlineStr">
        <is>
          <t>BB</t>
        </is>
      </c>
      <c r="P4" s="45" t="n"/>
      <c r="Q4" s="45" t="n"/>
      <c r="R4" s="45">
        <f>IF(P4="","",P4-IF(Q4="",0,Q4))</f>
        <v/>
      </c>
      <c r="S4" s="45" t="n"/>
      <c r="T4" s="45">
        <f>IF(Q4="","",Q4+IF(S4="",0,S4))</f>
        <v/>
      </c>
      <c r="U4" s="46" t="n"/>
      <c r="V4" s="47" t="n"/>
    </row>
    <row r="5" ht="20" customHeight="1">
      <c r="A5" s="48" t="inlineStr">
        <is>
          <t>Kalena OF/NET</t>
        </is>
      </c>
      <c r="B5" s="49" t="n"/>
      <c r="C5" s="50" t="n"/>
      <c r="D5" s="51" t="n"/>
      <c r="E5" s="52" t="inlineStr">
        <is>
          <t>Caixa Habitação</t>
        </is>
      </c>
      <c r="F5" s="53" t="n"/>
      <c r="G5" s="54" t="n"/>
      <c r="H5" s="54" t="n"/>
      <c r="I5" s="55" t="inlineStr">
        <is>
          <t>HAPVIDA/SABRINA</t>
        </is>
      </c>
      <c r="J5" s="56" t="n"/>
      <c r="K5" s="56" t="n"/>
      <c r="L5" s="56">
        <f>IF(J5="","",J5+IF(K5="",0,K5))</f>
        <v/>
      </c>
      <c r="M5" s="57" t="n"/>
      <c r="N5" s="58" t="n"/>
      <c r="O5" s="59" t="inlineStr">
        <is>
          <t>NU</t>
        </is>
      </c>
      <c r="P5" s="60" t="n"/>
      <c r="Q5" s="60" t="n"/>
      <c r="R5" s="60">
        <f>IF(P5="","",P5-IF(Q5="",0,Q5))</f>
        <v/>
      </c>
      <c r="S5" s="60" t="n"/>
      <c r="T5" s="60">
        <f>IF(Q5="","",Q5+IF(S5="",0,S5))</f>
        <v/>
      </c>
      <c r="U5" s="61" t="n"/>
      <c r="V5" s="62" t="n"/>
    </row>
    <row r="6" ht="20" customHeight="1">
      <c r="A6" s="6" t="inlineStr">
        <is>
          <t>ALUGUÉL</t>
        </is>
      </c>
      <c r="B6" s="37" t="n"/>
      <c r="C6" s="38" t="n"/>
      <c r="D6" s="39" t="n"/>
      <c r="E6" s="9" t="inlineStr">
        <is>
          <t>Consignado BB</t>
        </is>
      </c>
      <c r="F6" s="40" t="n"/>
      <c r="G6" s="41" t="n"/>
      <c r="H6" s="41" t="n"/>
      <c r="I6" s="15" t="inlineStr">
        <is>
          <t>HAP EWE E EFRA</t>
        </is>
      </c>
      <c r="J6" s="42" t="n"/>
      <c r="K6" s="42" t="n"/>
      <c r="L6" s="42">
        <f>IF(J6="","",J6+IF(K6="",0,K6))</f>
        <v/>
      </c>
      <c r="M6" s="43" t="n"/>
      <c r="N6" s="44" t="n"/>
      <c r="O6" s="18" t="inlineStr">
        <is>
          <t>Santander SX</t>
        </is>
      </c>
      <c r="P6" s="45" t="n"/>
      <c r="Q6" s="45" t="n"/>
      <c r="R6" s="45">
        <f>IF(P6="","",P6-IF(Q6="",0,Q6))</f>
        <v/>
      </c>
      <c r="S6" s="45" t="n"/>
      <c r="T6" s="45">
        <f>IF(Q6="","",Q6+IF(S6="",0,S6))</f>
        <v/>
      </c>
      <c r="U6" s="46" t="n"/>
      <c r="V6" s="47" t="n"/>
    </row>
    <row r="7" ht="20" customHeight="1">
      <c r="A7" s="48" t="inlineStr">
        <is>
          <t>Wagner</t>
        </is>
      </c>
      <c r="B7" s="49" t="n"/>
      <c r="C7" s="50" t="n"/>
      <c r="D7" s="51" t="n"/>
      <c r="E7" s="52" t="inlineStr">
        <is>
          <t>Emp.Sal.BB</t>
        </is>
      </c>
      <c r="F7" s="53" t="n"/>
      <c r="G7" s="54" t="n"/>
      <c r="H7" s="54" t="n"/>
      <c r="I7" s="55" t="inlineStr">
        <is>
          <t>CELPA ENERGIA</t>
        </is>
      </c>
      <c r="J7" s="56" t="n"/>
      <c r="K7" s="56" t="n"/>
      <c r="L7" s="56">
        <f>IF(J7="","",J7+IF(K7="",0,K7))</f>
        <v/>
      </c>
      <c r="M7" s="57" t="n"/>
      <c r="N7" s="58" t="n"/>
      <c r="O7" s="59" t="inlineStr">
        <is>
          <t>SELITE</t>
        </is>
      </c>
      <c r="P7" s="60" t="n"/>
      <c r="Q7" s="60" t="n"/>
      <c r="R7" s="60">
        <f>IF(P7="","",P7-IF(Q7="",0,Q7))</f>
        <v/>
      </c>
      <c r="S7" s="60" t="n"/>
      <c r="T7" s="60">
        <f>IF(Q7="","",Q7+IF(S7="",0,S7))</f>
        <v/>
      </c>
      <c r="U7" s="61" t="n"/>
      <c r="V7" s="62" t="n"/>
    </row>
    <row r="8" ht="20" customHeight="1">
      <c r="A8" s="6" t="inlineStr">
        <is>
          <t>Neto</t>
        </is>
      </c>
      <c r="B8" s="37" t="n"/>
      <c r="C8" s="38" t="n"/>
      <c r="D8" s="39" t="n"/>
      <c r="E8" s="9" t="inlineStr">
        <is>
          <t>AUX.TRANSP</t>
        </is>
      </c>
      <c r="F8" s="40" t="n"/>
      <c r="G8" s="41" t="n"/>
      <c r="H8" s="41" t="n"/>
      <c r="I8" s="15" t="inlineStr">
        <is>
          <t>SEATELECOM</t>
        </is>
      </c>
      <c r="J8" s="42" t="n"/>
      <c r="K8" s="42" t="n"/>
      <c r="L8" s="42">
        <f>IF(J8="","",J8+IF(K8="",0,K8))</f>
        <v/>
      </c>
      <c r="M8" s="43" t="n"/>
      <c r="N8" s="44" t="n"/>
      <c r="O8" s="18" t="inlineStr">
        <is>
          <t>Caixa Gold</t>
        </is>
      </c>
      <c r="P8" s="45" t="n"/>
      <c r="Q8" s="45" t="n"/>
      <c r="R8" s="45">
        <f>IF(P8="","",P8-IF(Q8="",0,Q8))</f>
        <v/>
      </c>
      <c r="S8" s="45" t="n"/>
      <c r="T8" s="45">
        <f>IF(Q8="","",Q8+IF(S8="",0,S8))</f>
        <v/>
      </c>
      <c r="U8" s="46" t="n"/>
      <c r="V8" s="47" t="n"/>
    </row>
    <row r="9" ht="20" customHeight="1">
      <c r="A9" s="48" t="inlineStr">
        <is>
          <t>UAB</t>
        </is>
      </c>
      <c r="B9" s="49" t="n"/>
      <c r="C9" s="50" t="n"/>
      <c r="D9" s="51" t="n"/>
      <c r="E9" s="52" t="inlineStr">
        <is>
          <t>CONTRI.SOCIAL</t>
        </is>
      </c>
      <c r="F9" s="53" t="n"/>
      <c r="G9" s="54" t="n"/>
      <c r="H9" s="54" t="n"/>
      <c r="I9" s="55" t="inlineStr">
        <is>
          <t>TX.ÁLAMO</t>
        </is>
      </c>
      <c r="J9" s="56" t="n"/>
      <c r="K9" s="56" t="n"/>
      <c r="L9" s="56">
        <f>IF(J9="","",J9+IF(K9="",0,K9))</f>
        <v/>
      </c>
      <c r="M9" s="57" t="n"/>
      <c r="N9" s="58" t="n"/>
      <c r="O9" s="59" t="inlineStr">
        <is>
          <t>Cartão MP</t>
        </is>
      </c>
      <c r="P9" s="60" t="n"/>
      <c r="Q9" s="60" t="n"/>
      <c r="R9" s="60">
        <f>IF(P9="","",P9-IF(Q9="",0,Q9))</f>
        <v/>
      </c>
      <c r="S9" s="60" t="n"/>
      <c r="T9" s="60">
        <f>IF(Q9="","",Q9+IF(S9="",0,S9))</f>
        <v/>
      </c>
      <c r="U9" s="61" t="n"/>
      <c r="V9" s="62" t="n"/>
    </row>
    <row r="10" ht="20" customHeight="1">
      <c r="A10" s="6" t="inlineStr"/>
      <c r="B10" s="37" t="n"/>
      <c r="C10" s="38" t="n"/>
      <c r="D10" s="39" t="n"/>
      <c r="E10" s="9" t="inlineStr">
        <is>
          <t>IRRF</t>
        </is>
      </c>
      <c r="F10" s="40" t="n"/>
      <c r="G10" s="41" t="n"/>
      <c r="H10" s="41" t="n"/>
      <c r="I10" s="15" t="inlineStr">
        <is>
          <t>CONTA TIM</t>
        </is>
      </c>
      <c r="J10" s="42" t="n"/>
      <c r="K10" s="42" t="n"/>
      <c r="L10" s="42">
        <f>IF(J10="","",J10+IF(K10="",0,K10))</f>
        <v/>
      </c>
      <c r="M10" s="43" t="n"/>
      <c r="N10" s="44" t="n"/>
      <c r="O10" s="18" t="inlineStr">
        <is>
          <t>PicPay Card</t>
        </is>
      </c>
      <c r="P10" s="45" t="n"/>
      <c r="Q10" s="45" t="n"/>
      <c r="R10" s="45">
        <f>IF(P10="","",P10-IF(Q10="",0,Q10))</f>
        <v/>
      </c>
      <c r="S10" s="45" t="n"/>
      <c r="T10" s="45">
        <f>IF(Q10="","",Q10+IF(S10="",0,S10))</f>
        <v/>
      </c>
      <c r="U10" s="46" t="n"/>
      <c r="V10" s="47" t="n"/>
    </row>
    <row r="11" ht="20" customHeight="1">
      <c r="A11" s="48" t="inlineStr"/>
      <c r="B11" s="49" t="n"/>
      <c r="C11" s="50" t="n"/>
      <c r="D11" s="51" t="n"/>
      <c r="E11" s="52" t="inlineStr">
        <is>
          <t>AUX.PRÉ.ESC</t>
        </is>
      </c>
      <c r="F11" s="53" t="n"/>
      <c r="G11" s="54" t="n"/>
      <c r="H11" s="54" t="n"/>
      <c r="I11" s="55" t="inlineStr">
        <is>
          <t>CONTA CLARO</t>
        </is>
      </c>
      <c r="J11" s="56" t="n"/>
      <c r="K11" s="56" t="n"/>
      <c r="L11" s="56">
        <f>IF(J11="","",J11+IF(K11="",0,K11))</f>
        <v/>
      </c>
      <c r="M11" s="57" t="n"/>
      <c r="N11" s="58" t="n"/>
      <c r="O11" s="59" t="inlineStr">
        <is>
          <t>Itaú Card</t>
        </is>
      </c>
      <c r="P11" s="60" t="n"/>
      <c r="Q11" s="60" t="n"/>
      <c r="R11" s="60">
        <f>IF(P11="","",P11-IF(Q11="",0,Q11))</f>
        <v/>
      </c>
      <c r="S11" s="60" t="n"/>
      <c r="T11" s="60">
        <f>IF(Q11="","",Q11+IF(S11="",0,S11))</f>
        <v/>
      </c>
      <c r="U11" s="61" t="n"/>
      <c r="V11" s="62" t="n"/>
    </row>
    <row r="12" ht="20" customHeight="1">
      <c r="A12" s="6" t="inlineStr"/>
      <c r="B12" s="37" t="n"/>
      <c r="C12" s="38" t="n"/>
      <c r="D12" s="39" t="n"/>
      <c r="E12" s="9" t="inlineStr">
        <is>
          <t>Dízimo</t>
        </is>
      </c>
      <c r="F12" s="40" t="n"/>
      <c r="G12" s="41" t="n"/>
      <c r="H12" s="41" t="n"/>
      <c r="I12" s="15" t="inlineStr">
        <is>
          <t>MAXÍDOMINI</t>
        </is>
      </c>
      <c r="J12" s="42" t="n"/>
      <c r="K12" s="42" t="n"/>
      <c r="L12" s="42">
        <f>IF(J12="","",J12+IF(K12="",0,K12))</f>
        <v/>
      </c>
      <c r="M12" s="43" t="n"/>
      <c r="N12" s="44" t="n"/>
      <c r="O12" s="18" t="inlineStr">
        <is>
          <t>CAIXA ELO</t>
        </is>
      </c>
      <c r="P12" s="45" t="n"/>
      <c r="Q12" s="45" t="n"/>
      <c r="R12" s="45">
        <f>IF(P12="","",P12-IF(Q12="",0,Q12))</f>
        <v/>
      </c>
      <c r="S12" s="45" t="n"/>
      <c r="T12" s="45">
        <f>IF(Q12="","",Q12+IF(S12="",0,S12))</f>
        <v/>
      </c>
      <c r="U12" s="46" t="n"/>
      <c r="V12" s="47" t="n"/>
    </row>
    <row r="13" ht="20" customHeight="1">
      <c r="A13" s="48" t="inlineStr"/>
      <c r="B13" s="49" t="n"/>
      <c r="C13" s="50" t="n"/>
      <c r="D13" s="51" t="n"/>
      <c r="E13" s="52" t="inlineStr"/>
      <c r="F13" s="53" t="n"/>
      <c r="G13" s="54" t="n"/>
      <c r="H13" s="54" t="n"/>
      <c r="I13" s="55" t="inlineStr">
        <is>
          <t>COSANPA/ÁGUA</t>
        </is>
      </c>
      <c r="J13" s="56" t="n"/>
      <c r="K13" s="56" t="n"/>
      <c r="L13" s="56">
        <f>IF(J13="","",J13+IF(K13="",0,K13))</f>
        <v/>
      </c>
      <c r="M13" s="57" t="n"/>
      <c r="N13" s="58" t="n"/>
      <c r="O13" s="59" t="inlineStr">
        <is>
          <t>Bradesco</t>
        </is>
      </c>
      <c r="P13" s="60" t="n"/>
      <c r="Q13" s="60" t="n"/>
      <c r="R13" s="60">
        <f>IF(P13="","",P13-IF(Q13="",0,Q13))</f>
        <v/>
      </c>
      <c r="S13" s="60" t="n"/>
      <c r="T13" s="60">
        <f>IF(Q13="","",Q13+IF(S13="",0,S13))</f>
        <v/>
      </c>
      <c r="U13" s="61" t="n"/>
      <c r="V13" s="62" t="n"/>
    </row>
    <row r="14" ht="20" customHeight="1">
      <c r="A14" s="6" t="inlineStr"/>
      <c r="B14" s="37" t="n"/>
      <c r="C14" s="38" t="n"/>
      <c r="D14" s="39" t="n"/>
      <c r="E14" s="9" t="inlineStr"/>
      <c r="F14" s="40" t="n"/>
      <c r="G14" s="41" t="n"/>
      <c r="H14" s="41" t="n"/>
      <c r="I14" s="15" t="inlineStr">
        <is>
          <t>ESCOLA SALMOM</t>
        </is>
      </c>
      <c r="J14" s="42" t="n"/>
      <c r="K14" s="42" t="n"/>
      <c r="L14" s="42">
        <f>IF(J14="","",J14+IF(K14="",0,K14))</f>
        <v/>
      </c>
      <c r="M14" s="43" t="n"/>
      <c r="N14" s="44" t="n"/>
      <c r="O14" s="18" t="inlineStr">
        <is>
          <t>RecargaPay</t>
        </is>
      </c>
      <c r="P14" s="45" t="n"/>
      <c r="Q14" s="45" t="n"/>
      <c r="R14" s="45">
        <f>IF(P14="","",P14-IF(Q14="",0,Q14))</f>
        <v/>
      </c>
      <c r="S14" s="45" t="n"/>
      <c r="T14" s="45">
        <f>IF(Q14="","",Q14+IF(S14="",0,S14))</f>
        <v/>
      </c>
      <c r="U14" s="46" t="n"/>
      <c r="V14" s="47" t="n"/>
    </row>
    <row r="15" ht="20" customHeight="1">
      <c r="A15" s="48" t="inlineStr"/>
      <c r="B15" s="49" t="n"/>
      <c r="C15" s="50" t="n"/>
      <c r="D15" s="51" t="n"/>
      <c r="E15" s="52" t="inlineStr"/>
      <c r="F15" s="53" t="n"/>
      <c r="G15" s="54" t="n"/>
      <c r="H15" s="54" t="n"/>
      <c r="I15" s="55" t="inlineStr">
        <is>
          <t>CORECON</t>
        </is>
      </c>
      <c r="J15" s="56" t="n"/>
      <c r="K15" s="56" t="n"/>
      <c r="L15" s="56">
        <f>IF(J15="","",J15+IF(K15="",0,K15))</f>
        <v/>
      </c>
      <c r="M15" s="57" t="n"/>
      <c r="N15" s="58" t="n"/>
      <c r="O15" s="59" t="inlineStr">
        <is>
          <t>BipaCard</t>
        </is>
      </c>
      <c r="P15" s="60" t="n"/>
      <c r="Q15" s="60" t="n"/>
      <c r="R15" s="60">
        <f>IF(P15="","",P15-IF(Q15="",0,Q15))</f>
        <v/>
      </c>
      <c r="S15" s="60" t="n"/>
      <c r="T15" s="60">
        <f>IF(Q15="","",Q15+IF(S15="",0,S15))</f>
        <v/>
      </c>
      <c r="U15" s="61" t="n"/>
      <c r="V15" s="62" t="n"/>
    </row>
    <row r="16" ht="20" customHeight="1">
      <c r="A16" s="6" t="inlineStr"/>
      <c r="B16" s="37" t="n"/>
      <c r="C16" s="38" t="n"/>
      <c r="D16" s="39" t="n"/>
      <c r="E16" s="9" t="inlineStr"/>
      <c r="F16" s="40" t="n"/>
      <c r="G16" s="41" t="n"/>
      <c r="H16" s="41" t="n"/>
      <c r="I16" s="15" t="inlineStr">
        <is>
          <t>Boticário</t>
        </is>
      </c>
      <c r="J16" s="42" t="n"/>
      <c r="K16" s="42" t="n"/>
      <c r="L16" s="42">
        <f>IF(J16="","",J16+IF(K16="",0,K16))</f>
        <v/>
      </c>
      <c r="M16" s="43" t="n"/>
      <c r="N16" s="44" t="n"/>
      <c r="O16" s="18" t="inlineStr">
        <is>
          <t>InfinitCard</t>
        </is>
      </c>
      <c r="P16" s="45" t="n"/>
      <c r="Q16" s="45" t="n"/>
      <c r="R16" s="45">
        <f>IF(P16="","",P16-IF(Q16="",0,Q16))</f>
        <v/>
      </c>
      <c r="S16" s="45" t="n"/>
      <c r="T16" s="45">
        <f>IF(Q16="","",Q16+IF(S16="",0,S16))</f>
        <v/>
      </c>
      <c r="U16" s="46" t="n"/>
      <c r="V16" s="47" t="n"/>
    </row>
    <row r="17" ht="20" customHeight="1">
      <c r="A17" s="48" t="inlineStr"/>
      <c r="B17" s="49" t="n"/>
      <c r="C17" s="50" t="n"/>
      <c r="D17" s="51" t="n"/>
      <c r="E17" s="52" t="inlineStr"/>
      <c r="F17" s="53" t="n"/>
      <c r="G17" s="54" t="n"/>
      <c r="H17" s="54" t="n"/>
      <c r="I17" s="55" t="inlineStr">
        <is>
          <t>Rodobens</t>
        </is>
      </c>
      <c r="J17" s="56" t="n"/>
      <c r="K17" s="56" t="n"/>
      <c r="L17" s="56">
        <f>IF(J17="","",J17+IF(K17="",0,K17))</f>
        <v/>
      </c>
      <c r="M17" s="57" t="n"/>
      <c r="N17" s="58" t="n"/>
      <c r="O17" s="59" t="inlineStr">
        <is>
          <t>Pagbank</t>
        </is>
      </c>
      <c r="P17" s="60" t="n"/>
      <c r="Q17" s="60" t="n"/>
      <c r="R17" s="60">
        <f>IF(P17="","",P17-IF(Q17="",0,Q17))</f>
        <v/>
      </c>
      <c r="S17" s="60" t="n"/>
      <c r="T17" s="60">
        <f>IF(Q17="","",Q17+IF(S17="",0,S17))</f>
        <v/>
      </c>
      <c r="U17" s="61" t="n"/>
      <c r="V17" s="62" t="n"/>
    </row>
    <row r="18" ht="20" customHeight="1">
      <c r="A18" s="6" t="inlineStr"/>
      <c r="B18" s="37" t="n"/>
      <c r="C18" s="38" t="n"/>
      <c r="D18" s="39" t="n"/>
      <c r="E18" s="9" t="inlineStr"/>
      <c r="F18" s="40" t="n"/>
      <c r="G18" s="41" t="n"/>
      <c r="H18" s="41" t="n"/>
      <c r="I18" s="15" t="inlineStr"/>
      <c r="J18" s="42" t="n"/>
      <c r="K18" s="42" t="n"/>
      <c r="L18" s="42">
        <f>IF(J18="","",J18+IF(K18="",0,K18))</f>
        <v/>
      </c>
      <c r="M18" s="43" t="n"/>
      <c r="N18" s="44" t="n"/>
      <c r="O18" s="18" t="inlineStr">
        <is>
          <t>TonCard</t>
        </is>
      </c>
      <c r="P18" s="45" t="n"/>
      <c r="Q18" s="45" t="n"/>
      <c r="R18" s="45">
        <f>IF(P18="","",P18-IF(Q18="",0,Q18))</f>
        <v/>
      </c>
      <c r="S18" s="45" t="n"/>
      <c r="T18" s="45">
        <f>IF(Q18="","",Q18+IF(S18="",0,S18))</f>
        <v/>
      </c>
      <c r="U18" s="46" t="n"/>
      <c r="V18" s="47" t="n"/>
    </row>
    <row r="19" ht="20" customHeight="1">
      <c r="A19" s="48" t="inlineStr"/>
      <c r="B19" s="49" t="n"/>
      <c r="C19" s="50" t="n"/>
      <c r="D19" s="51" t="n"/>
      <c r="E19" s="52" t="inlineStr"/>
      <c r="F19" s="53" t="n"/>
      <c r="G19" s="54" t="n"/>
      <c r="H19" s="54" t="n"/>
      <c r="I19" s="55" t="inlineStr"/>
      <c r="J19" s="56" t="n"/>
      <c r="K19" s="56" t="n"/>
      <c r="L19" s="56">
        <f>IF(J19="","",J19+IF(K19="",0,K19))</f>
        <v/>
      </c>
      <c r="M19" s="57" t="n"/>
      <c r="N19" s="58" t="n"/>
      <c r="O19" s="59" t="inlineStr"/>
      <c r="P19" s="60" t="n"/>
      <c r="Q19" s="60" t="n"/>
      <c r="R19" s="60">
        <f>IF(P19="","",P19-IF(Q19="",0,Q19))</f>
        <v/>
      </c>
      <c r="S19" s="60" t="n"/>
      <c r="T19" s="60">
        <f>IF(Q19="","",Q19+IF(S19="",0,S19))</f>
        <v/>
      </c>
      <c r="U19" s="61" t="n"/>
      <c r="V19" s="62" t="n"/>
    </row>
    <row r="20" ht="22" customHeight="1">
      <c r="A20" s="63" t="inlineStr">
        <is>
          <t>RECEITA TOTAL</t>
        </is>
      </c>
      <c r="B20" s="8">
        <f>SUM(B4:B19)</f>
        <v/>
      </c>
      <c r="C20" s="64" t="n"/>
      <c r="D20" s="64" t="n"/>
      <c r="E20" s="65" t="inlineStr">
        <is>
          <t>TOTAL DESCONTOS</t>
        </is>
      </c>
      <c r="F20" s="11">
        <f>SUM(F4:F19)</f>
        <v/>
      </c>
      <c r="G20" s="66" t="n"/>
      <c r="H20" s="66" t="n"/>
      <c r="I20" s="67" t="inlineStr">
        <is>
          <t>TOTAL FIXAS (CET)</t>
        </is>
      </c>
      <c r="J20" s="21">
        <f>SUM(J4:J19)</f>
        <v/>
      </c>
      <c r="K20" s="21">
        <f>SUM(K4:K19)</f>
        <v/>
      </c>
      <c r="L20" s="21">
        <f>SUM(L4:L19)</f>
        <v/>
      </c>
      <c r="M20" s="68" t="n"/>
      <c r="N20" s="68" t="n"/>
      <c r="O20" s="69" t="inlineStr">
        <is>
          <t>TOTAL CARTÕES</t>
        </is>
      </c>
      <c r="P20" s="70">
        <f>SUM(P4:P19)</f>
        <v/>
      </c>
      <c r="Q20" s="70">
        <f>SUM(Q4:Q19)</f>
        <v/>
      </c>
      <c r="R20" s="70">
        <f>SUM(R4:R19)</f>
        <v/>
      </c>
      <c r="S20" s="70">
        <f>SUM(S4:S19)</f>
        <v/>
      </c>
      <c r="T20" s="70">
        <f>SUM(T4:T19)</f>
        <v/>
      </c>
      <c r="U20" s="71" t="n"/>
      <c r="V20" s="71" t="n"/>
    </row>
    <row r="21">
      <c r="O21" s="72" t="inlineStr">
        <is>
          <t>¹ SALDO = Fatura − Pago  (valor não quitado = nova dívida do mês)</t>
        </is>
      </c>
    </row>
    <row r="22" ht="22" customHeight="1">
      <c r="A22" s="73" t="inlineStr">
        <is>
          <t>ASSINATURAS ONLINE</t>
        </is>
      </c>
      <c r="F22" s="73" t="inlineStr">
        <is>
          <t>NOTAS / EMPRÉSTIMOS / CONSIGNADOS</t>
        </is>
      </c>
    </row>
    <row r="23" ht="20" customHeight="1">
      <c r="A23" s="74" t="inlineStr">
        <is>
          <t>CARTÃO</t>
        </is>
      </c>
      <c r="B23" s="74" t="inlineStr">
        <is>
          <t>SERVIÇO</t>
        </is>
      </c>
      <c r="C23" s="74" t="inlineStr">
        <is>
          <t>VALOR</t>
        </is>
      </c>
      <c r="D23" s="74" t="inlineStr">
        <is>
          <t>DIA/SITUAÇÃO</t>
        </is>
      </c>
      <c r="F23" s="74" t="inlineStr">
        <is>
          <t>DESCRIÇÃO</t>
        </is>
      </c>
      <c r="G23" s="74" t="inlineStr">
        <is>
          <t>TAXA (am)</t>
        </is>
      </c>
      <c r="H23" s="74" t="inlineStr">
        <is>
          <t>TAXA (aa)</t>
        </is>
      </c>
      <c r="I23" s="74" t="inlineStr">
        <is>
          <t>OBS / SALDO</t>
        </is>
      </c>
    </row>
    <row r="24" ht="18" customHeight="1">
      <c r="A24" s="75" t="inlineStr">
        <is>
          <t>NU</t>
        </is>
      </c>
      <c r="B24" s="22" t="inlineStr">
        <is>
          <t>GDRIVE SABRI</t>
        </is>
      </c>
      <c r="C24" s="23" t="n">
        <v>49.9</v>
      </c>
      <c r="D24" s="22" t="inlineStr">
        <is>
          <t>DIA 04 — CRÉDITO (NU)</t>
        </is>
      </c>
      <c r="F24" s="22" t="inlineStr">
        <is>
          <t>Consignado Nubank 1</t>
        </is>
      </c>
      <c r="G24" s="75" t="inlineStr">
        <is>
          <t>1.30% am</t>
        </is>
      </c>
      <c r="H24" s="75" t="inlineStr">
        <is>
          <t>16.74% aa</t>
        </is>
      </c>
      <c r="I24" s="22" t="inlineStr">
        <is>
          <t>73x</t>
        </is>
      </c>
    </row>
    <row r="25" ht="18" customHeight="1">
      <c r="A25" s="76" t="inlineStr">
        <is>
          <t>NU</t>
        </is>
      </c>
      <c r="B25" s="77" t="inlineStr">
        <is>
          <t>CONTA TIM</t>
        </is>
      </c>
      <c r="C25" s="78" t="n">
        <v>42</v>
      </c>
      <c r="D25" s="77" t="inlineStr">
        <is>
          <t>DIA 15 — PG MANUAL</t>
        </is>
      </c>
      <c r="F25" s="77" t="inlineStr">
        <is>
          <t>Consignado Nubank 2</t>
        </is>
      </c>
      <c r="G25" s="76" t="inlineStr">
        <is>
          <t>1.57% am</t>
        </is>
      </c>
      <c r="H25" s="76" t="inlineStr">
        <is>
          <t>21.85% aa</t>
        </is>
      </c>
      <c r="I25" s="77" t="inlineStr">
        <is>
          <t>96x — saldo R$776,82</t>
        </is>
      </c>
    </row>
    <row r="26" ht="18" customHeight="1">
      <c r="A26" s="75" t="inlineStr">
        <is>
          <t>SANTANDER SX</t>
        </is>
      </c>
      <c r="B26" s="22" t="inlineStr">
        <is>
          <t>PLANO CLARO</t>
        </is>
      </c>
      <c r="C26" s="23" t="n">
        <v>73.73</v>
      </c>
      <c r="D26" s="22" t="inlineStr">
        <is>
          <t>DIA 09 — PG MANUAL</t>
        </is>
      </c>
      <c r="F26" s="22" t="inlineStr">
        <is>
          <t>Fin. Habitação CAIXA</t>
        </is>
      </c>
      <c r="G26" s="75" t="inlineStr">
        <is>
          <t>7% nominal</t>
        </is>
      </c>
      <c r="H26" s="75" t="inlineStr"/>
      <c r="I26" s="22" t="inlineStr"/>
    </row>
    <row r="27" ht="18" customHeight="1">
      <c r="A27" s="76" t="inlineStr">
        <is>
          <t>NU</t>
        </is>
      </c>
      <c r="B27" s="77" t="inlineStr">
        <is>
          <t>YOUTUBE ST</t>
        </is>
      </c>
      <c r="C27" s="78" t="n">
        <v>53.9</v>
      </c>
      <c r="D27" s="77" t="inlineStr">
        <is>
          <t>DIA 25 — CRÉDITO (NU)</t>
        </is>
      </c>
      <c r="F27" s="77" t="inlineStr">
        <is>
          <t>Empréstimo Sabrina</t>
        </is>
      </c>
      <c r="G27" s="76" t="inlineStr"/>
      <c r="H27" s="76" t="inlineStr"/>
      <c r="I27" s="77" t="inlineStr">
        <is>
          <t>saldo R$2.503,46</t>
        </is>
      </c>
    </row>
    <row r="28" ht="18" customHeight="1">
      <c r="A28" s="75" t="inlineStr">
        <is>
          <t>NU</t>
        </is>
      </c>
      <c r="B28" s="22" t="inlineStr">
        <is>
          <t>ICLOUD</t>
        </is>
      </c>
      <c r="C28" s="23" t="n">
        <v>5.9</v>
      </c>
      <c r="D28" s="22" t="inlineStr">
        <is>
          <t>DIA 01 — CRÉDITO (NU)</t>
        </is>
      </c>
      <c r="F28" s="22" t="inlineStr">
        <is>
          <t>Empréstimo Josy</t>
        </is>
      </c>
      <c r="G28" s="75" t="inlineStr"/>
      <c r="H28" s="75" t="inlineStr"/>
      <c r="I28" s="22" t="inlineStr"/>
    </row>
    <row r="29" ht="18" customHeight="1">
      <c r="A29" s="76" t="inlineStr"/>
      <c r="B29" s="77" t="inlineStr">
        <is>
          <t>Serasa</t>
        </is>
      </c>
      <c r="C29" s="78" t="n">
        <v>23.9</v>
      </c>
      <c r="D29" s="77" t="inlineStr">
        <is>
          <t xml:space="preserve">DIA 17 — </t>
        </is>
      </c>
      <c r="F29" s="77" t="inlineStr"/>
      <c r="G29" s="76" t="inlineStr"/>
      <c r="H29" s="76" t="inlineStr"/>
      <c r="I29" s="77" t="inlineStr"/>
    </row>
    <row r="30" ht="18" customHeight="1">
      <c r="A30" s="75" t="inlineStr"/>
      <c r="B30" s="22" t="inlineStr">
        <is>
          <t>Kindle</t>
        </is>
      </c>
      <c r="C30" s="23" t="n">
        <v>24</v>
      </c>
      <c r="D30" s="22" t="inlineStr"/>
      <c r="F30" s="22" t="inlineStr"/>
      <c r="G30" s="75" t="inlineStr"/>
      <c r="H30" s="75" t="inlineStr"/>
      <c r="I30" s="22" t="inlineStr"/>
    </row>
    <row r="31" ht="18" customHeight="1">
      <c r="A31" s="76" t="inlineStr">
        <is>
          <t>NU</t>
        </is>
      </c>
      <c r="B31" s="77" t="inlineStr">
        <is>
          <t>GPT</t>
        </is>
      </c>
      <c r="C31" s="78" t="n">
        <v>130</v>
      </c>
      <c r="D31" s="77" t="inlineStr">
        <is>
          <t>DIA 02 — CRÉDITO (NU)</t>
        </is>
      </c>
    </row>
    <row r="32" ht="18" customHeight="1">
      <c r="A32" s="75" t="inlineStr">
        <is>
          <t>NU</t>
        </is>
      </c>
      <c r="B32" s="22" t="inlineStr">
        <is>
          <t>Copilot</t>
        </is>
      </c>
      <c r="C32" s="23" t="n">
        <v>109.9</v>
      </c>
      <c r="D32" s="22" t="inlineStr">
        <is>
          <t>DIA 04 — CRÉDITO (NU)</t>
        </is>
      </c>
    </row>
    <row r="33" ht="18" customHeight="1">
      <c r="A33" s="76" t="inlineStr">
        <is>
          <t>NU</t>
        </is>
      </c>
      <c r="B33" s="77" t="inlineStr">
        <is>
          <t>WORD</t>
        </is>
      </c>
      <c r="C33" s="78" t="n">
        <v>0</v>
      </c>
      <c r="D33" s="77" t="inlineStr">
        <is>
          <t>Anual — CRÉDITO (NU)</t>
        </is>
      </c>
    </row>
    <row r="34" ht="18" customHeight="1">
      <c r="A34" s="75" t="inlineStr">
        <is>
          <t>NU</t>
        </is>
      </c>
      <c r="B34" s="22" t="inlineStr">
        <is>
          <t>GDRIVE EWE</t>
        </is>
      </c>
      <c r="C34" s="23" t="n">
        <v>0</v>
      </c>
      <c r="D34" s="22" t="inlineStr">
        <is>
          <t>Ago/26 — CRÉDITO (NU)</t>
        </is>
      </c>
    </row>
    <row r="35" ht="18" customHeight="1">
      <c r="A35" s="76" t="inlineStr"/>
      <c r="B35" s="77" t="inlineStr">
        <is>
          <t>PDFVIEW</t>
        </is>
      </c>
      <c r="C35" s="78" t="n">
        <v>0</v>
      </c>
      <c r="D35" s="77" t="inlineStr">
        <is>
          <t>CRÉDITO (NU)</t>
        </is>
      </c>
    </row>
    <row r="36" ht="20" customHeight="1">
      <c r="A36" s="79" t="inlineStr">
        <is>
          <t>TOTAL ASSINATURAS</t>
        </is>
      </c>
      <c r="C36" s="24">
        <f>SUM(C24:C35)</f>
        <v/>
      </c>
      <c r="D36" s="3" t="n"/>
    </row>
    <row r="38" ht="22" customHeight="1">
      <c r="A38" s="80" t="inlineStr">
        <is>
          <t>CHEQUE ESPECIAL / DÍVIDAS FINANCEIRAS</t>
        </is>
      </c>
    </row>
    <row r="39" ht="22" customHeight="1">
      <c r="A39" s="35" t="inlineStr">
        <is>
          <t>BANCO</t>
        </is>
      </c>
      <c r="B39" s="35" t="inlineStr">
        <is>
          <t>LIMITE</t>
        </is>
      </c>
      <c r="C39" s="35" t="inlineStr">
        <is>
          <t>USADO</t>
        </is>
      </c>
      <c r="D39" s="35" t="inlineStr">
        <is>
          <t>JUROS MÊS</t>
        </is>
      </c>
      <c r="E39" s="35" t="inlineStr">
        <is>
          <t>TAXA % aa</t>
        </is>
      </c>
      <c r="F39" s="35" t="inlineStr">
        <is>
          <t>DIAS</t>
        </is>
      </c>
      <c r="G39" s="35" t="inlineStr">
        <is>
          <t>SITUAÇÃO</t>
        </is>
      </c>
    </row>
    <row r="40" ht="19" customHeight="1">
      <c r="A40" s="15" t="inlineStr">
        <is>
          <t>BB</t>
        </is>
      </c>
      <c r="B40" s="16" t="n"/>
      <c r="C40" s="16" t="n"/>
      <c r="D40" s="16" t="n"/>
      <c r="E40" s="81" t="n"/>
      <c r="F40" s="81" t="n"/>
      <c r="G40" s="81" t="n"/>
    </row>
    <row r="41" ht="19" customHeight="1">
      <c r="A41" s="55" t="inlineStr">
        <is>
          <t>Santander</t>
        </is>
      </c>
      <c r="B41" s="82" t="n"/>
      <c r="C41" s="82" t="n"/>
      <c r="D41" s="82" t="n"/>
      <c r="E41" s="83" t="n"/>
      <c r="F41" s="83" t="n"/>
      <c r="G41" s="83" t="n"/>
    </row>
    <row r="42" ht="19" customHeight="1">
      <c r="A42" s="15" t="inlineStr">
        <is>
          <t>Caixa</t>
        </is>
      </c>
      <c r="B42" s="16" t="n"/>
      <c r="C42" s="16" t="n"/>
      <c r="D42" s="16" t="n"/>
      <c r="E42" s="81" t="n"/>
      <c r="F42" s="81" t="n"/>
      <c r="G42" s="81" t="n"/>
    </row>
    <row r="43" ht="19" customHeight="1">
      <c r="A43" s="55" t="inlineStr">
        <is>
          <t>Itaú</t>
        </is>
      </c>
      <c r="B43" s="82" t="n"/>
      <c r="C43" s="82" t="n"/>
      <c r="D43" s="82" t="n"/>
      <c r="E43" s="83" t="n"/>
      <c r="F43" s="83" t="n"/>
      <c r="G43" s="83" t="n"/>
    </row>
    <row r="44" ht="19" customHeight="1">
      <c r="A44" s="15" t="inlineStr">
        <is>
          <t>Bradesco</t>
        </is>
      </c>
      <c r="B44" s="16" t="n"/>
      <c r="C44" s="16" t="n"/>
      <c r="D44" s="16" t="n"/>
      <c r="E44" s="81" t="n"/>
      <c r="F44" s="81" t="n"/>
      <c r="G44" s="81" t="n"/>
    </row>
    <row r="45" ht="20" customHeight="1">
      <c r="A45" s="67" t="inlineStr">
        <is>
          <t>TOTAL CHEQUE ESPECIAL</t>
        </is>
      </c>
      <c r="C45" s="21">
        <f>SUM(C40:C44)</f>
        <v/>
      </c>
      <c r="D45" s="21">
        <f>SUM(D40:D44)</f>
        <v/>
      </c>
      <c r="E45" s="84" t="n"/>
      <c r="F45" s="84" t="n"/>
      <c r="G45" s="84" t="n"/>
    </row>
    <row r="47" ht="28" customHeight="1">
      <c r="A47" s="28" t="inlineStr">
        <is>
          <t xml:space="preserve">  ══  RESULTADO DO MÊS  ══</t>
        </is>
      </c>
    </row>
    <row r="48" ht="19" customHeight="1">
      <c r="A48" s="6" t="inlineStr">
        <is>
          <t>Receita Bruta</t>
        </is>
      </c>
      <c r="F48" s="7">
        <f>B20</f>
        <v/>
      </c>
    </row>
    <row r="49" ht="19" customHeight="1">
      <c r="A49" s="9" t="inlineStr">
        <is>
          <t>(−) Descontos em Folha</t>
        </is>
      </c>
      <c r="F49" s="10">
        <f>F20</f>
        <v/>
      </c>
    </row>
    <row r="50" ht="24" customHeight="1">
      <c r="A50" s="85">
        <f> Receita Líquida</f>
        <v/>
      </c>
      <c r="F50" s="14">
        <f>F48-F49</f>
        <v/>
      </c>
    </row>
    <row r="51" ht="19" customHeight="1">
      <c r="A51" s="15" t="inlineStr">
        <is>
          <t>(−) Despesas Fixas (CET)</t>
        </is>
      </c>
      <c r="F51" s="16">
        <f>L20</f>
        <v/>
      </c>
    </row>
    <row r="52" ht="19" customHeight="1">
      <c r="A52" s="18" t="inlineStr">
        <is>
          <t>(−) Cartões — Valor Pago</t>
        </is>
      </c>
      <c r="F52" s="19">
        <f>Q20</f>
        <v/>
      </c>
    </row>
    <row r="53" ht="19" customHeight="1">
      <c r="A53" s="18" t="inlineStr">
        <is>
          <t>(−) Juros dos Cartões</t>
        </is>
      </c>
      <c r="F53" s="19">
        <f>S20</f>
        <v/>
      </c>
    </row>
    <row r="54" ht="19" customHeight="1">
      <c r="A54" s="15" t="inlineStr">
        <is>
          <t>(−) Juros Cheque Especial</t>
        </is>
      </c>
      <c r="F54" s="16">
        <f>D45</f>
        <v/>
      </c>
    </row>
    <row r="55" ht="19" customHeight="1">
      <c r="A55" s="22" t="inlineStr">
        <is>
          <t>(−) Assinaturas Online</t>
        </is>
      </c>
      <c r="F55" s="23">
        <f>C36</f>
        <v/>
      </c>
    </row>
    <row r="56" ht="24" customHeight="1">
      <c r="A56" s="86">
        <f> SALDO REAL DO MÊS</f>
        <v/>
      </c>
      <c r="F56" s="27">
        <f>F50-F51-F52-F53-F54-F55</f>
        <v/>
      </c>
    </row>
    <row r="57" ht="19" customHeight="1">
      <c r="A57" s="15" t="inlineStr">
        <is>
          <t>⚠  Nova Dívida (cartões não pagos)</t>
        </is>
      </c>
      <c r="F57" s="16">
        <f>R20</f>
        <v/>
      </c>
    </row>
    <row r="59" ht="22" customHeight="1">
      <c r="A59" s="73" t="inlineStr">
        <is>
          <t>CONTAS E SALDOS</t>
        </is>
      </c>
    </row>
    <row r="60" ht="18" customHeight="1">
      <c r="A60" s="74" t="inlineStr">
        <is>
          <t>BANCO / CARTEIRA</t>
        </is>
      </c>
      <c r="B60" s="74" t="inlineStr">
        <is>
          <t>SALDO (R$)</t>
        </is>
      </c>
      <c r="C60" s="74" t="inlineStr">
        <is>
          <t>OBS</t>
        </is>
      </c>
    </row>
    <row r="61" ht="18" customHeight="1">
      <c r="A61" s="22" t="inlineStr">
        <is>
          <t>Saldo CC BB</t>
        </is>
      </c>
      <c r="B61" s="23" t="n"/>
      <c r="C61" s="87" t="n"/>
    </row>
    <row r="62" ht="18" customHeight="1">
      <c r="A62" s="77" t="inlineStr">
        <is>
          <t>Santander</t>
        </is>
      </c>
      <c r="B62" s="78" t="n"/>
      <c r="C62" s="88" t="n"/>
    </row>
    <row r="63" ht="18" customHeight="1">
      <c r="A63" s="22" t="inlineStr">
        <is>
          <t>Caixa</t>
        </is>
      </c>
      <c r="B63" s="23" t="n"/>
      <c r="C63" s="87" t="n"/>
    </row>
    <row r="64" ht="18" customHeight="1">
      <c r="A64" s="77" t="inlineStr">
        <is>
          <t>Bipa</t>
        </is>
      </c>
      <c r="B64" s="78" t="n"/>
      <c r="C64" s="88" t="n"/>
    </row>
    <row r="65" ht="18" customHeight="1">
      <c r="A65" s="22" t="inlineStr">
        <is>
          <t>Nubank</t>
        </is>
      </c>
      <c r="B65" s="23" t="n"/>
      <c r="C65" s="87" t="n"/>
    </row>
    <row r="66" ht="18" customHeight="1">
      <c r="A66" s="77" t="inlineStr">
        <is>
          <t>Itaú</t>
        </is>
      </c>
      <c r="B66" s="78" t="n"/>
      <c r="C66" s="88" t="n"/>
    </row>
    <row r="67" ht="18" customHeight="1">
      <c r="A67" s="22" t="inlineStr">
        <is>
          <t>MP</t>
        </is>
      </c>
      <c r="B67" s="23" t="n"/>
      <c r="C67" s="87" t="n"/>
    </row>
    <row r="68" ht="18" customHeight="1">
      <c r="A68" s="77" t="inlineStr">
        <is>
          <t>KuCoin</t>
        </is>
      </c>
      <c r="B68" s="78" t="n"/>
      <c r="C68" s="88" t="n"/>
    </row>
    <row r="69" ht="18" customHeight="1">
      <c r="A69" s="22" t="inlineStr">
        <is>
          <t>Ton</t>
        </is>
      </c>
      <c r="B69" s="23" t="n"/>
      <c r="C69" s="87" t="n"/>
    </row>
    <row r="70" ht="18" customHeight="1">
      <c r="A70" s="77" t="inlineStr">
        <is>
          <t>Picpay</t>
        </is>
      </c>
      <c r="B70" s="78" t="n"/>
      <c r="C70" s="88" t="n"/>
    </row>
    <row r="71" ht="18" customHeight="1">
      <c r="A71" s="22" t="inlineStr">
        <is>
          <t>Recargapay</t>
        </is>
      </c>
      <c r="B71" s="23" t="n"/>
      <c r="C71" s="87" t="n"/>
    </row>
    <row r="72" ht="18" customHeight="1">
      <c r="A72" s="77" t="inlineStr">
        <is>
          <t>Infinitepay</t>
        </is>
      </c>
      <c r="B72" s="78" t="n"/>
      <c r="C72" s="88" t="n"/>
    </row>
    <row r="73" ht="18" customHeight="1">
      <c r="A73" s="22" t="inlineStr">
        <is>
          <t>PagBank</t>
        </is>
      </c>
      <c r="B73" s="23" t="n"/>
      <c r="C73" s="87" t="n"/>
    </row>
    <row r="74" ht="18" customHeight="1">
      <c r="A74" s="77" t="inlineStr">
        <is>
          <t>C6 BANK</t>
        </is>
      </c>
      <c r="B74" s="78" t="n"/>
      <c r="C74" s="88" t="n"/>
    </row>
    <row r="75" ht="18" customHeight="1">
      <c r="A75" s="22" t="inlineStr">
        <is>
          <t>INTER</t>
        </is>
      </c>
      <c r="B75" s="23" t="n"/>
      <c r="C75" s="87" t="n"/>
    </row>
    <row r="76" ht="18" customHeight="1">
      <c r="A76" s="77" t="inlineStr">
        <is>
          <t>Bradesco</t>
        </is>
      </c>
      <c r="B76" s="78" t="n"/>
      <c r="C76" s="88" t="n"/>
    </row>
    <row r="77" ht="18" customHeight="1">
      <c r="A77" s="22" t="inlineStr">
        <is>
          <t>BTG</t>
        </is>
      </c>
      <c r="B77" s="23" t="n"/>
      <c r="C77" s="87" t="n"/>
    </row>
    <row r="78" ht="20" customHeight="1">
      <c r="A78" s="79" t="inlineStr">
        <is>
          <t>TOTAL EM CONTAS</t>
        </is>
      </c>
      <c r="B78" s="24">
        <f>SUM(B61:B77)</f>
        <v/>
      </c>
      <c r="C78" s="3" t="n"/>
    </row>
  </sheetData>
  <mergeCells count="23">
    <mergeCell ref="A48:E48"/>
    <mergeCell ref="A22:D22"/>
    <mergeCell ref="A45:B45"/>
    <mergeCell ref="A49:E49"/>
    <mergeCell ref="A51:E51"/>
    <mergeCell ref="A36:B36"/>
    <mergeCell ref="A38:G38"/>
    <mergeCell ref="A47:F47"/>
    <mergeCell ref="A54:E54"/>
    <mergeCell ref="A56:E56"/>
    <mergeCell ref="A55:E55"/>
    <mergeCell ref="A50:E50"/>
    <mergeCell ref="A57:E57"/>
    <mergeCell ref="A1:V1"/>
    <mergeCell ref="O21:V21"/>
    <mergeCell ref="A59:C59"/>
    <mergeCell ref="A53:E53"/>
    <mergeCell ref="I2:N2"/>
    <mergeCell ref="O2:V2"/>
    <mergeCell ref="A52:E52"/>
    <mergeCell ref="A2:D2"/>
    <mergeCell ref="E2:H2"/>
    <mergeCell ref="F22:I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2026-05-29T12:50:35Z</dcterms:created>
  <dcterms:modified xsi:type="dcterms:W3CDTF">2026-05-29T12:50:35Z</dcterms:modified>
</cp:coreProperties>
</file>